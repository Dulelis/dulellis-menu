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adastro de Insumos" sheetId="1" state="visible" r:id="rId3"/>
    <sheet name="2. Ficha Técnic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<sst xmlns="http://schemas.openxmlformats.org/spreadsheetml/2006/main" count="250" uniqueCount="69">
  <si>
    <t xml:space="preserve">Ingrediente</t>
  </si>
  <si>
    <t xml:space="preserve">Marca/Tipo</t>
  </si>
  <si>
    <t xml:space="preserve">Unidade (kg, ml, un)</t>
  </si>
  <si>
    <t xml:space="preserve">Qtd na Embalagem</t>
  </si>
  <si>
    <t xml:space="preserve">Preço de Compra (R$)</t>
  </si>
  <si>
    <t xml:space="preserve">Custo Unitário (R$)</t>
  </si>
  <si>
    <t xml:space="preserve">TRIGO</t>
  </si>
  <si>
    <t xml:space="preserve">ANIELLA</t>
  </si>
  <si>
    <t xml:space="preserve">kg</t>
  </si>
  <si>
    <t xml:space="preserve">AÇÚCAR</t>
  </si>
  <si>
    <t xml:space="preserve">PORTO BELLO</t>
  </si>
  <si>
    <t xml:space="preserve">OVO</t>
  </si>
  <si>
    <t xml:space="preserve">Q/UM</t>
  </si>
  <si>
    <t xml:space="preserve">dz</t>
  </si>
  <si>
    <t xml:space="preserve">FERMENTO</t>
  </si>
  <si>
    <t xml:space="preserve">ROYAL</t>
  </si>
  <si>
    <t xml:space="preserve">PT</t>
  </si>
  <si>
    <t xml:space="preserve">EMUSTAB</t>
  </si>
  <si>
    <t xml:space="preserve">4 RODAS</t>
  </si>
  <si>
    <t xml:space="preserve">KG</t>
  </si>
  <si>
    <t xml:space="preserve">RECHEIOS</t>
  </si>
  <si>
    <t xml:space="preserve">LEITE CONDENSADO</t>
  </si>
  <si>
    <t xml:space="preserve">tirol</t>
  </si>
  <si>
    <t xml:space="preserve">cx</t>
  </si>
  <si>
    <t xml:space="preserve">CREME DE LEITE</t>
  </si>
  <si>
    <t xml:space="preserve">CHOCOLATE EM PÓ</t>
  </si>
  <si>
    <t xml:space="preserve">MELKEN</t>
  </si>
  <si>
    <t xml:space="preserve">COCO</t>
  </si>
  <si>
    <t xml:space="preserve">DO VALLE</t>
  </si>
  <si>
    <t xml:space="preserve">AMENDOIM</t>
  </si>
  <si>
    <t xml:space="preserve">VARIADO</t>
  </si>
  <si>
    <t xml:space="preserve">LEITE EM PÓ </t>
  </si>
  <si>
    <t xml:space="preserve">NINHO</t>
  </si>
  <si>
    <t xml:space="preserve">GR</t>
  </si>
  <si>
    <t xml:space="preserve">MORANGO</t>
  </si>
  <si>
    <t xml:space="preserve">CX</t>
  </si>
  <si>
    <t xml:space="preserve">BOMBOM OURO BRANCO</t>
  </si>
  <si>
    <t xml:space="preserve">LACTA</t>
  </si>
  <si>
    <t xml:space="preserve">BOMBOM SONHO DE VALSA</t>
  </si>
  <si>
    <t xml:space="preserve">RECEITA:</t>
  </si>
  <si>
    <t xml:space="preserve">BOLO DE BRIGADEIRO BRANCO 1 KG</t>
  </si>
  <si>
    <t xml:space="preserve">PREÇO FINAL DE VENDA SUGERIDO</t>
  </si>
  <si>
    <t xml:space="preserve">Qtd na Receita</t>
  </si>
  <si>
    <t xml:space="preserve">Subtotal Item (R$)</t>
  </si>
  <si>
    <t xml:space="preserve">Item de Custo</t>
  </si>
  <si>
    <t xml:space="preserve">Valor/Taxa</t>
  </si>
  <si>
    <t xml:space="preserve">Subtotal (R$)</t>
  </si>
  <si>
    <t xml:space="preserve">trigo</t>
  </si>
  <si>
    <t xml:space="preserve">Custo de Insumos (Automático)</t>
  </si>
  <si>
    <t xml:space="preserve">açúcar</t>
  </si>
  <si>
    <t xml:space="preserve">Custos Fixos/Utilidades (Gás/Luz) - %</t>
  </si>
  <si>
    <t xml:space="preserve">ovo</t>
  </si>
  <si>
    <t xml:space="preserve">Mão de Obra (Pro-labore) - %</t>
  </si>
  <si>
    <t xml:space="preserve">fermento</t>
  </si>
  <si>
    <t xml:space="preserve">SUBTOTAL (CUSTO DE PRODUÇÃO)</t>
  </si>
  <si>
    <t xml:space="preserve">emustab</t>
  </si>
  <si>
    <t xml:space="preserve">Margem de Lucro Desejada - %</t>
  </si>
  <si>
    <t xml:space="preserve">TOTAL </t>
  </si>
  <si>
    <t xml:space="preserve">RECHEIO</t>
  </si>
  <si>
    <t xml:space="preserve">leite condensado</t>
  </si>
  <si>
    <t xml:space="preserve">Embalagem e Descartáveis</t>
  </si>
  <si>
    <t xml:space="preserve">creme de leite</t>
  </si>
  <si>
    <t xml:space="preserve">CUSTO TOTAL DE INSUMOS:</t>
  </si>
  <si>
    <t xml:space="preserve">BOLO DE BRIGADEIRO DE CHOCOLATE 1 KG</t>
  </si>
  <si>
    <t xml:space="preserve">BOLO DE BEJINHO 1 KG</t>
  </si>
  <si>
    <t xml:space="preserve">BOLO DE SONHO DE VALSA 1 KG</t>
  </si>
  <si>
    <t xml:space="preserve">BOLO DE OURO BRANCO 1 KG</t>
  </si>
  <si>
    <t xml:space="preserve">BOLO DE AMENDOIM 1 KG</t>
  </si>
  <si>
    <t xml:space="preserve">BOLO DE MORANGO 1 KG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</si>
</sst>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&quot;R$ &quot;#,##0.00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CC0000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833C12"/>
        <bgColor rgb="FF813709"/>
      </patternFill>
    </fill>
    <fill>
      <patternFill patternType="solid">
        <fgColor rgb="FFBF0041"/>
        <bgColor rgb="FFCC0000"/>
      </patternFill>
    </fill>
    <fill>
      <patternFill patternType="solid">
        <fgColor rgb="FF813709"/>
        <bgColor rgb="FF833C12"/>
      </patternFill>
    </fill>
    <fill>
      <patternFill patternType="solid">
        <fgColor rgb="FF729FCF"/>
        <bgColor rgb="FF969696"/>
      </patternFill>
    </fill>
    <fill>
      <patternFill patternType="solid">
        <fgColor rgb="FFDDE8CB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FFFF6D"/>
        <bgColor rgb="FFFFFFD7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729FCF"/>
      <rgbColor rgb="FF833C12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137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5" activeCellId="0" sqref="I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0" width="18"/>
    <col collapsed="false" customWidth="true" hidden="false" outlineLevel="0" max="6" min="5" style="0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4" t="s">
        <v>7</v>
      </c>
      <c r="C2" s="4" t="s">
        <v>8</v>
      </c>
      <c r="D2" s="3" t="n">
        <v>5000</v>
      </c>
      <c r="E2" s="5" t="n">
        <v>14</v>
      </c>
      <c r="F2" s="6" t="n">
        <f aca="false">IF(AND(D2&gt;0, E2&gt;0), E2/D2, 0)</f>
        <v>0.0028</v>
      </c>
    </row>
    <row r="3" customFormat="false" ht="15" hidden="false" customHeight="false" outlineLevel="0" collapsed="false">
      <c r="A3" s="3" t="s">
        <v>9</v>
      </c>
      <c r="B3" s="4" t="s">
        <v>10</v>
      </c>
      <c r="C3" s="4" t="s">
        <v>8</v>
      </c>
      <c r="D3" s="3" t="n">
        <v>5000</v>
      </c>
      <c r="E3" s="5" t="n">
        <v>20</v>
      </c>
      <c r="F3" s="6" t="n">
        <f aca="false">IF(AND(D3&gt;0, E3&gt;0), E3/D3, 0)</f>
        <v>0.004</v>
      </c>
    </row>
    <row r="4" customFormat="false" ht="15" hidden="false" customHeight="false" outlineLevel="0" collapsed="false">
      <c r="A4" s="3" t="s">
        <v>11</v>
      </c>
      <c r="B4" s="4" t="s">
        <v>12</v>
      </c>
      <c r="C4" s="4" t="s">
        <v>13</v>
      </c>
      <c r="D4" s="3" t="n">
        <v>30</v>
      </c>
      <c r="E4" s="5" t="n">
        <v>20</v>
      </c>
      <c r="F4" s="6" t="n">
        <f aca="false">IF(AND(D4&gt;0, E4&gt;0), E4/D4, 0)</f>
        <v>0.666666666666667</v>
      </c>
    </row>
    <row r="5" customFormat="false" ht="15" hidden="false" customHeight="false" outlineLevel="0" collapsed="false">
      <c r="A5" s="3" t="s">
        <v>14</v>
      </c>
      <c r="B5" s="4" t="s">
        <v>15</v>
      </c>
      <c r="C5" s="4" t="s">
        <v>16</v>
      </c>
      <c r="D5" s="3" t="n">
        <v>250</v>
      </c>
      <c r="E5" s="5" t="n">
        <v>11</v>
      </c>
      <c r="F5" s="6" t="n">
        <f aca="false">IF(AND(D5&gt;0, E5&gt;0), E5/D5, 0)</f>
        <v>0.044</v>
      </c>
    </row>
    <row r="6" customFormat="false" ht="15" hidden="false" customHeight="false" outlineLevel="0" collapsed="false">
      <c r="A6" s="3" t="s">
        <v>17</v>
      </c>
      <c r="B6" s="4" t="s">
        <v>18</v>
      </c>
      <c r="C6" s="4" t="s">
        <v>19</v>
      </c>
      <c r="D6" s="3" t="n">
        <v>1000</v>
      </c>
      <c r="E6" s="5" t="n">
        <v>45</v>
      </c>
      <c r="F6" s="6" t="n">
        <f aca="false">IF(AND(D6&gt;0, E6&gt;0), E6/D6, 0)</f>
        <v>0.045</v>
      </c>
    </row>
    <row r="7" customFormat="false" ht="15" hidden="false" customHeight="false" outlineLevel="0" collapsed="false">
      <c r="A7" s="3"/>
      <c r="B7" s="4"/>
      <c r="C7" s="4"/>
      <c r="D7" s="3"/>
      <c r="E7" s="5"/>
      <c r="F7" s="6" t="n">
        <f aca="false">IF(AND(D7&gt;0, E7&gt;0), E7/D7, 0)</f>
        <v>0</v>
      </c>
    </row>
    <row r="8" customFormat="false" ht="15" hidden="false" customHeight="false" outlineLevel="0" collapsed="false">
      <c r="A8" s="7" t="s">
        <v>20</v>
      </c>
      <c r="B8" s="7"/>
      <c r="C8" s="7"/>
      <c r="D8" s="7"/>
      <c r="E8" s="7"/>
      <c r="F8" s="7"/>
    </row>
    <row r="9" customFormat="false" ht="15" hidden="false" customHeight="false" outlineLevel="0" collapsed="false">
      <c r="A9" s="3" t="s">
        <v>21</v>
      </c>
      <c r="B9" s="4" t="s">
        <v>22</v>
      </c>
      <c r="C9" s="4" t="s">
        <v>23</v>
      </c>
      <c r="D9" s="3" t="n">
        <v>395</v>
      </c>
      <c r="E9" s="5" t="n">
        <v>6</v>
      </c>
      <c r="F9" s="6" t="n">
        <f aca="false">IF(AND(D9&gt;0, E9&gt;0), E9/D9, 0)</f>
        <v>0.0151898734177215</v>
      </c>
    </row>
    <row r="10" customFormat="false" ht="15" hidden="false" customHeight="false" outlineLevel="0" collapsed="false">
      <c r="A10" s="3" t="s">
        <v>24</v>
      </c>
      <c r="B10" s="4" t="s">
        <v>22</v>
      </c>
      <c r="C10" s="4" t="s">
        <v>23</v>
      </c>
      <c r="D10" s="3" t="n">
        <v>200</v>
      </c>
      <c r="E10" s="5" t="n">
        <v>3</v>
      </c>
      <c r="F10" s="6" t="n">
        <f aca="false">IF(AND(D10&gt;0, E10&gt;0), E10/D10, 0)</f>
        <v>0.015</v>
      </c>
    </row>
    <row r="11" customFormat="false" ht="15" hidden="false" customHeight="false" outlineLevel="0" collapsed="false">
      <c r="A11" s="3" t="s">
        <v>25</v>
      </c>
      <c r="B11" s="4" t="s">
        <v>26</v>
      </c>
      <c r="C11" s="4" t="s">
        <v>19</v>
      </c>
      <c r="D11" s="3" t="n">
        <v>1000</v>
      </c>
      <c r="E11" s="5" t="n">
        <v>80</v>
      </c>
      <c r="F11" s="6" t="n">
        <f aca="false">IF(AND(D11&gt;0, E11&gt;0), E11/D11, 0)</f>
        <v>0.08</v>
      </c>
    </row>
    <row r="12" customFormat="false" ht="15" hidden="false" customHeight="false" outlineLevel="0" collapsed="false">
      <c r="A12" s="8" t="s">
        <v>27</v>
      </c>
      <c r="B12" s="9" t="s">
        <v>28</v>
      </c>
      <c r="C12" s="9" t="s">
        <v>19</v>
      </c>
      <c r="D12" s="8" t="n">
        <v>1000</v>
      </c>
      <c r="E12" s="10" t="n">
        <v>55</v>
      </c>
      <c r="F12" s="6" t="n">
        <f aca="false">IF(AND(D12&gt;0, E12&gt;0), E12/D12, 0)</f>
        <v>0.055</v>
      </c>
    </row>
    <row r="13" customFormat="false" ht="15" hidden="false" customHeight="false" outlineLevel="0" collapsed="false">
      <c r="A13" s="3" t="s">
        <v>29</v>
      </c>
      <c r="B13" s="4" t="s">
        <v>30</v>
      </c>
      <c r="C13" s="4" t="s">
        <v>19</v>
      </c>
      <c r="D13" s="3" t="n">
        <v>1000</v>
      </c>
      <c r="E13" s="5" t="n">
        <v>30</v>
      </c>
      <c r="F13" s="6" t="n">
        <f aca="false">IF(AND(D13&gt;0, E13&gt;0), E13/D13, 0)</f>
        <v>0.03</v>
      </c>
    </row>
    <row r="14" customFormat="false" ht="15" hidden="false" customHeight="false" outlineLevel="0" collapsed="false">
      <c r="A14" s="3" t="s">
        <v>31</v>
      </c>
      <c r="B14" s="4" t="s">
        <v>32</v>
      </c>
      <c r="C14" s="4" t="s">
        <v>33</v>
      </c>
      <c r="D14" s="3" t="n">
        <v>400</v>
      </c>
      <c r="E14" s="5" t="n">
        <v>20</v>
      </c>
      <c r="F14" s="6" t="n">
        <f aca="false">IF(AND(D14&gt;0, E14&gt;0), E14/D14, 0)</f>
        <v>0.05</v>
      </c>
    </row>
    <row r="15" customFormat="false" ht="15" hidden="false" customHeight="false" outlineLevel="0" collapsed="false">
      <c r="A15" s="3" t="s">
        <v>34</v>
      </c>
      <c r="B15" s="4" t="s">
        <v>35</v>
      </c>
      <c r="C15" s="4" t="s">
        <v>35</v>
      </c>
      <c r="D15" s="3" t="n">
        <v>250</v>
      </c>
      <c r="E15" s="5" t="n">
        <v>15</v>
      </c>
      <c r="F15" s="6" t="n">
        <f aca="false">IF(AND(D15&gt;0, E15&gt;0), E15/D15, 0)</f>
        <v>0.06</v>
      </c>
    </row>
    <row r="16" customFormat="false" ht="15" hidden="false" customHeight="false" outlineLevel="0" collapsed="false">
      <c r="A16" s="3" t="s">
        <v>36</v>
      </c>
      <c r="B16" s="4" t="s">
        <v>37</v>
      </c>
      <c r="C16" s="4" t="s">
        <v>16</v>
      </c>
      <c r="D16" s="3" t="n">
        <v>50</v>
      </c>
      <c r="E16" s="5" t="n">
        <v>70</v>
      </c>
      <c r="F16" s="6" t="n">
        <f aca="false">IF(AND(D16&gt;0, E16&gt;0), E16/D16, 0)</f>
        <v>1.4</v>
      </c>
    </row>
    <row r="17" customFormat="false" ht="15" hidden="false" customHeight="false" outlineLevel="0" collapsed="false">
      <c r="A17" s="3" t="s">
        <v>38</v>
      </c>
      <c r="B17" s="4" t="s">
        <v>37</v>
      </c>
      <c r="C17" s="4" t="s">
        <v>16</v>
      </c>
      <c r="D17" s="3" t="n">
        <v>50</v>
      </c>
      <c r="E17" s="5" t="n">
        <v>70</v>
      </c>
      <c r="F17" s="6" t="n">
        <f aca="false">IF(AND(D17&gt;0, E17&gt;0), E17/D17, 0)</f>
        <v>1.4</v>
      </c>
    </row>
    <row r="18" customFormat="false" ht="15" hidden="false" customHeight="false" outlineLevel="0" collapsed="false">
      <c r="A18" s="3"/>
      <c r="B18" s="4"/>
      <c r="C18" s="4"/>
      <c r="D18" s="3"/>
      <c r="E18" s="5"/>
      <c r="F18" s="6" t="n">
        <f aca="false">IF(AND(D18&gt;0, E18&gt;0), E18/D18, 0)</f>
        <v>0</v>
      </c>
    </row>
    <row r="19" customFormat="false" ht="15" hidden="false" customHeight="false" outlineLevel="0" collapsed="false">
      <c r="E19" s="11"/>
    </row>
    <row r="20" customFormat="false" ht="15" hidden="false" customHeight="false" outlineLevel="0" collapsed="false">
      <c r="E20" s="11"/>
    </row>
    <row r="21" customFormat="false" ht="15" hidden="false" customHeight="false" outlineLevel="0" collapsed="false">
      <c r="E21" s="11"/>
    </row>
    <row r="22" customFormat="false" ht="15" hidden="false" customHeight="false" outlineLevel="0" collapsed="false">
      <c r="E22" s="11"/>
    </row>
    <row r="23" customFormat="false" ht="15" hidden="false" customHeight="false" outlineLevel="0" collapsed="false">
      <c r="E23" s="11"/>
    </row>
    <row r="24" customFormat="false" ht="15" hidden="false" customHeight="false" outlineLevel="0" collapsed="false">
      <c r="E24" s="11"/>
    </row>
    <row r="25" customFormat="false" ht="15" hidden="false" customHeight="false" outlineLevel="0" collapsed="false">
      <c r="E25" s="11"/>
    </row>
    <row r="26" customFormat="false" ht="15" hidden="false" customHeight="false" outlineLevel="0" collapsed="false">
      <c r="E26" s="11"/>
    </row>
    <row r="27" customFormat="false" ht="15" hidden="false" customHeight="false" outlineLevel="0" collapsed="false">
      <c r="E27" s="11"/>
    </row>
    <row r="28" customFormat="false" ht="15" hidden="false" customHeight="false" outlineLevel="0" collapsed="false">
      <c r="E28" s="11"/>
    </row>
    <row r="29" customFormat="false" ht="15" hidden="false" customHeight="false" outlineLevel="0" collapsed="false">
      <c r="E29" s="11"/>
    </row>
    <row r="30" customFormat="false" ht="15" hidden="false" customHeight="false" outlineLevel="0" collapsed="false">
      <c r="E30" s="11"/>
    </row>
    <row r="31" customFormat="false" ht="15" hidden="false" customHeight="false" outlineLevel="0" collapsed="false">
      <c r="E31" s="11"/>
    </row>
    <row r="32" customFormat="false" ht="15" hidden="false" customHeight="false" outlineLevel="0" collapsed="false">
      <c r="E32" s="11"/>
    </row>
    <row r="33" customFormat="false" ht="15" hidden="false" customHeight="false" outlineLevel="0" collapsed="false">
      <c r="E33" s="11"/>
    </row>
    <row r="34" customFormat="false" ht="15" hidden="false" customHeight="false" outlineLevel="0" collapsed="false">
      <c r="E34" s="11"/>
    </row>
    <row r="35" customFormat="false" ht="15" hidden="false" customHeight="false" outlineLevel="0" collapsed="false">
      <c r="E35" s="11"/>
    </row>
    <row r="36" customFormat="false" ht="15" hidden="false" customHeight="false" outlineLevel="0" collapsed="false">
      <c r="E36" s="11"/>
    </row>
    <row r="37" customFormat="false" ht="15" hidden="false" customHeight="false" outlineLevel="0" collapsed="false">
      <c r="E37" s="11"/>
    </row>
    <row r="38" customFormat="false" ht="15" hidden="false" customHeight="false" outlineLevel="0" collapsed="false">
      <c r="E38" s="11"/>
    </row>
    <row r="39" customFormat="false" ht="15" hidden="false" customHeight="false" outlineLevel="0" collapsed="false">
      <c r="E39" s="11"/>
    </row>
    <row r="40" customFormat="false" ht="15" hidden="false" customHeight="false" outlineLevel="0" collapsed="false">
      <c r="E40" s="11"/>
    </row>
    <row r="41" customFormat="false" ht="15" hidden="false" customHeight="false" outlineLevel="0" collapsed="false">
      <c r="E41" s="11"/>
    </row>
    <row r="42" customFormat="false" ht="15" hidden="false" customHeight="false" outlineLevel="0" collapsed="false">
      <c r="E42" s="11"/>
    </row>
    <row r="43" customFormat="false" ht="15" hidden="false" customHeight="false" outlineLevel="0" collapsed="false">
      <c r="E43" s="11"/>
    </row>
    <row r="44" customFormat="false" ht="15" hidden="false" customHeight="false" outlineLevel="0" collapsed="false">
      <c r="E44" s="11"/>
    </row>
    <row r="45" customFormat="false" ht="15" hidden="false" customHeight="false" outlineLevel="0" collapsed="false">
      <c r="E45" s="11"/>
    </row>
    <row r="46" customFormat="false" ht="15" hidden="false" customHeight="false" outlineLevel="0" collapsed="false">
      <c r="E46" s="11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8"/>
  <sheetViews>
    <sheetView showFormulas="false" showGridLines="true" showRowColHeaders="true" showZeros="true" rightToLeft="false" tabSelected="false" showOutlineSymbols="true" defaultGridColor="true" view="normal" topLeftCell="A115" colorId="64" zoomScale="100" zoomScaleNormal="100" zoomScalePageLayoutView="100" workbookViewId="0">
      <selection pane="topLeft" activeCell="D138" activeCellId="0" sqref="D13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.77"/>
    <col collapsed="false" customWidth="true" hidden="false" outlineLevel="0" max="2" min="2" style="0" width="26.84"/>
    <col collapsed="false" customWidth="true" hidden="false" outlineLevel="0" max="3" min="3" style="0" width="15"/>
    <col collapsed="false" customWidth="true" hidden="false" outlineLevel="0" max="5" min="4" style="0" width="20"/>
    <col collapsed="false" customWidth="true" hidden="false" outlineLevel="0" max="6" min="6" style="0" width="3.89"/>
    <col collapsed="false" customWidth="true" hidden="false" outlineLevel="0" max="7" min="7" style="0" width="38.67"/>
    <col collapsed="false" customWidth="true" hidden="false" outlineLevel="0" max="8" min="8" style="0" width="17.8"/>
    <col collapsed="false" customWidth="true" hidden="false" outlineLevel="0" max="9" min="9" style="0" width="15.16"/>
    <col collapsed="false" customWidth="true" hidden="false" outlineLevel="0" max="10" min="10" style="0" width="3.34"/>
  </cols>
  <sheetData>
    <row r="1" customFormat="false" ht="15" hidden="false" customHeight="fals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</row>
    <row r="2" customFormat="false" ht="15" hidden="false" customHeight="false" outlineLevel="0" collapsed="false">
      <c r="A2" s="12"/>
      <c r="B2" s="0" t="s">
        <v>39</v>
      </c>
      <c r="C2" s="0" t="s">
        <v>40</v>
      </c>
      <c r="F2" s="13"/>
      <c r="G2" s="14" t="s">
        <v>41</v>
      </c>
      <c r="H2" s="14"/>
      <c r="I2" s="14"/>
      <c r="J2" s="12"/>
    </row>
    <row r="3" customFormat="false" ht="15" hidden="false" customHeight="false" outlineLevel="0" collapsed="false">
      <c r="A3" s="12"/>
      <c r="F3" s="13"/>
      <c r="J3" s="12"/>
    </row>
    <row r="4" customFormat="false" ht="15" hidden="false" customHeight="false" outlineLevel="0" collapsed="false">
      <c r="A4" s="12"/>
      <c r="B4" s="2" t="s">
        <v>0</v>
      </c>
      <c r="C4" s="2" t="s">
        <v>42</v>
      </c>
      <c r="D4" s="2" t="s">
        <v>5</v>
      </c>
      <c r="E4" s="2" t="s">
        <v>43</v>
      </c>
      <c r="F4" s="13"/>
      <c r="G4" s="15" t="s">
        <v>44</v>
      </c>
      <c r="H4" s="15" t="s">
        <v>45</v>
      </c>
      <c r="I4" s="15" t="s">
        <v>46</v>
      </c>
      <c r="J4" s="12"/>
    </row>
    <row r="5" customFormat="false" ht="15" hidden="false" customHeight="false" outlineLevel="0" collapsed="false">
      <c r="A5" s="12"/>
      <c r="B5" s="3" t="s">
        <v>47</v>
      </c>
      <c r="C5" s="3" t="n">
        <v>175</v>
      </c>
      <c r="D5" s="6" t="n">
        <f aca="false">'1. Cadastro de Insumos'!E2/'1. Cadastro de Insumos'!D2</f>
        <v>0.0028</v>
      </c>
      <c r="E5" s="5" t="n">
        <f aca="false">C5*D5</f>
        <v>0.49</v>
      </c>
      <c r="F5" s="13"/>
      <c r="G5" s="3" t="s">
        <v>48</v>
      </c>
      <c r="H5" s="3"/>
      <c r="I5" s="16" t="n">
        <f aca="false">E16</f>
        <v>16.4283333333333</v>
      </c>
      <c r="J5" s="12"/>
    </row>
    <row r="6" customFormat="false" ht="15" hidden="false" customHeight="false" outlineLevel="0" collapsed="false">
      <c r="A6" s="12"/>
      <c r="B6" s="3" t="s">
        <v>49</v>
      </c>
      <c r="C6" s="3" t="n">
        <v>150</v>
      </c>
      <c r="D6" s="6" t="n">
        <f aca="false">'1. Cadastro de Insumos'!E3/'1. Cadastro de Insumos'!D3</f>
        <v>0.004</v>
      </c>
      <c r="E6" s="5" t="n">
        <f aca="false">C6*D6</f>
        <v>0.6</v>
      </c>
      <c r="F6" s="13"/>
      <c r="G6" s="3" t="s">
        <v>50</v>
      </c>
      <c r="H6" s="17" t="n">
        <v>0.1</v>
      </c>
      <c r="I6" s="16" t="n">
        <f aca="false">I5*H6</f>
        <v>1.64283333333333</v>
      </c>
      <c r="J6" s="12"/>
    </row>
    <row r="7" customFormat="false" ht="15" hidden="false" customHeight="false" outlineLevel="0" collapsed="false">
      <c r="A7" s="12"/>
      <c r="B7" s="3" t="s">
        <v>51</v>
      </c>
      <c r="C7" s="3" t="n">
        <v>3.5</v>
      </c>
      <c r="D7" s="6" t="n">
        <f aca="false">'1. Cadastro de Insumos'!E4/'1. Cadastro de Insumos'!D4</f>
        <v>0.666666666666667</v>
      </c>
      <c r="E7" s="5" t="n">
        <f aca="false">C7*D7</f>
        <v>2.33333333333333</v>
      </c>
      <c r="F7" s="13"/>
      <c r="G7" s="3" t="s">
        <v>52</v>
      </c>
      <c r="H7" s="17" t="n">
        <v>0.2</v>
      </c>
      <c r="I7" s="16" t="n">
        <f aca="false">(I5+I6)*H7</f>
        <v>3.61423333333333</v>
      </c>
      <c r="J7" s="12"/>
    </row>
    <row r="8" customFormat="false" ht="15" hidden="false" customHeight="false" outlineLevel="0" collapsed="false">
      <c r="A8" s="12"/>
      <c r="B8" s="3" t="s">
        <v>53</v>
      </c>
      <c r="C8" s="3" t="n">
        <v>7.5</v>
      </c>
      <c r="D8" s="6" t="n">
        <f aca="false">'1. Cadastro de Insumos'!E5/'1. Cadastro de Insumos'!D5</f>
        <v>0.044</v>
      </c>
      <c r="E8" s="5" t="n">
        <f aca="false">C8*D8</f>
        <v>0.33</v>
      </c>
      <c r="F8" s="13"/>
      <c r="G8" s="3" t="s">
        <v>54</v>
      </c>
      <c r="H8" s="3"/>
      <c r="I8" s="16" t="n">
        <f aca="false">SUM(I5:I7)</f>
        <v>21.6854</v>
      </c>
      <c r="J8" s="12"/>
    </row>
    <row r="9" customFormat="false" ht="15" hidden="false" customHeight="false" outlineLevel="0" collapsed="false">
      <c r="A9" s="12"/>
      <c r="B9" s="3" t="s">
        <v>55</v>
      </c>
      <c r="C9" s="3" t="n">
        <v>15</v>
      </c>
      <c r="D9" s="6" t="n">
        <f aca="false">'1. Cadastro de Insumos'!E6/'1. Cadastro de Insumos'!D6</f>
        <v>0.045</v>
      </c>
      <c r="E9" s="5" t="n">
        <f aca="false">C9*D9</f>
        <v>0.675</v>
      </c>
      <c r="F9" s="13"/>
      <c r="G9" s="3" t="s">
        <v>56</v>
      </c>
      <c r="H9" s="17" t="n">
        <v>1.5</v>
      </c>
      <c r="I9" s="16"/>
      <c r="J9" s="12"/>
    </row>
    <row r="10" customFormat="false" ht="15" hidden="false" customHeight="false" outlineLevel="0" collapsed="false">
      <c r="A10" s="12"/>
      <c r="B10" s="3"/>
      <c r="C10" s="3"/>
      <c r="D10" s="6"/>
      <c r="E10" s="18" t="n">
        <f aca="false">SUM(E5:E9)</f>
        <v>4.42833333333333</v>
      </c>
      <c r="F10" s="13"/>
      <c r="G10" s="19" t="s">
        <v>57</v>
      </c>
      <c r="H10" s="3"/>
      <c r="I10" s="20" t="n">
        <f aca="false">I8*(1+H9)</f>
        <v>54.2135</v>
      </c>
      <c r="J10" s="12"/>
    </row>
    <row r="11" customFormat="false" ht="15" hidden="false" customHeight="false" outlineLevel="0" collapsed="false">
      <c r="A11" s="12"/>
      <c r="B11" s="21" t="s">
        <v>58</v>
      </c>
      <c r="C11" s="21"/>
      <c r="D11" s="21"/>
      <c r="E11" s="21"/>
      <c r="F11" s="13"/>
      <c r="G11" s="3"/>
      <c r="H11" s="3"/>
      <c r="I11" s="22"/>
      <c r="J11" s="12"/>
    </row>
    <row r="12" customFormat="false" ht="15" hidden="false" customHeight="false" outlineLevel="0" collapsed="false">
      <c r="A12" s="12"/>
      <c r="B12" s="3" t="s">
        <v>59</v>
      </c>
      <c r="C12" s="3" t="n">
        <v>1</v>
      </c>
      <c r="D12" s="6" t="n">
        <f aca="false">'1. Cadastro de Insumos'!E9*C12</f>
        <v>6</v>
      </c>
      <c r="E12" s="5" t="n">
        <f aca="false">C12*D12</f>
        <v>6</v>
      </c>
      <c r="F12" s="13"/>
      <c r="G12" s="3" t="s">
        <v>60</v>
      </c>
      <c r="H12" s="3" t="n">
        <v>1</v>
      </c>
      <c r="I12" s="16" t="n">
        <v>2.5</v>
      </c>
      <c r="J12" s="12"/>
    </row>
    <row r="13" customFormat="false" ht="15" hidden="false" customHeight="false" outlineLevel="0" collapsed="false">
      <c r="A13" s="12"/>
      <c r="B13" s="3" t="s">
        <v>61</v>
      </c>
      <c r="C13" s="3" t="n">
        <v>2</v>
      </c>
      <c r="D13" s="6" t="n">
        <f aca="false">'1. Cadastro de Insumos'!E10</f>
        <v>3</v>
      </c>
      <c r="E13" s="5" t="n">
        <f aca="false">C13*D13</f>
        <v>6</v>
      </c>
      <c r="F13" s="13"/>
      <c r="G13" s="3"/>
      <c r="H13" s="3"/>
      <c r="I13" s="16"/>
      <c r="J13" s="12"/>
    </row>
    <row r="14" customFormat="false" ht="15" hidden="false" customHeight="false" outlineLevel="0" collapsed="false">
      <c r="A14" s="12"/>
      <c r="B14" s="3"/>
      <c r="C14" s="3"/>
      <c r="D14" s="6"/>
      <c r="E14" s="5" t="n">
        <f aca="false">C14*D14</f>
        <v>0</v>
      </c>
      <c r="F14" s="13"/>
      <c r="G14" s="19" t="s">
        <v>41</v>
      </c>
      <c r="H14" s="3"/>
      <c r="I14" s="23" t="n">
        <f aca="false">SUM(I10:I13)</f>
        <v>56.7135</v>
      </c>
      <c r="J14" s="12"/>
    </row>
    <row r="15" customFormat="false" ht="15" hidden="false" customHeight="false" outlineLevel="0" collapsed="false">
      <c r="A15" s="12"/>
      <c r="B15" s="3"/>
      <c r="C15" s="3"/>
      <c r="D15" s="3"/>
      <c r="E15" s="18" t="n">
        <f aca="false">SUM(E12:E14)</f>
        <v>12</v>
      </c>
      <c r="F15" s="13"/>
      <c r="G15" s="3"/>
      <c r="H15" s="3"/>
      <c r="I15" s="3"/>
      <c r="J15" s="12"/>
    </row>
    <row r="16" customFormat="false" ht="15" hidden="false" customHeight="false" outlineLevel="0" collapsed="false">
      <c r="A16" s="12"/>
      <c r="B16" s="3"/>
      <c r="C16" s="24" t="s">
        <v>62</v>
      </c>
      <c r="D16" s="24"/>
      <c r="E16" s="25" t="n">
        <f aca="false">SUM(E10,E15)</f>
        <v>16.4283333333333</v>
      </c>
      <c r="F16" s="13"/>
      <c r="G16" s="3"/>
      <c r="H16" s="3"/>
      <c r="I16" s="3"/>
      <c r="J16" s="12"/>
    </row>
    <row r="17" customFormat="false" ht="15" hidden="false" customHeight="false" outlineLevel="0" collapsed="false">
      <c r="A17" s="12"/>
      <c r="B17" s="3"/>
      <c r="C17" s="3"/>
      <c r="D17" s="3"/>
      <c r="E17" s="3"/>
      <c r="F17" s="13"/>
      <c r="G17" s="3"/>
      <c r="H17" s="3"/>
      <c r="I17" s="3"/>
      <c r="J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15" hidden="false" customHeight="false" outlineLevel="0" collapsed="false">
      <c r="A21" s="12"/>
      <c r="B21" s="0" t="s">
        <v>39</v>
      </c>
      <c r="C21" s="0" t="s">
        <v>63</v>
      </c>
      <c r="F21" s="13"/>
      <c r="G21" s="14" t="s">
        <v>41</v>
      </c>
      <c r="H21" s="14"/>
      <c r="I21" s="14"/>
      <c r="J21" s="12"/>
    </row>
    <row r="22" customFormat="false" ht="15" hidden="false" customHeight="false" outlineLevel="0" collapsed="false">
      <c r="A22" s="12"/>
      <c r="F22" s="13"/>
      <c r="J22" s="12"/>
    </row>
    <row r="23" customFormat="false" ht="15" hidden="false" customHeight="false" outlineLevel="0" collapsed="false">
      <c r="A23" s="12"/>
      <c r="B23" s="2" t="s">
        <v>0</v>
      </c>
      <c r="C23" s="2" t="s">
        <v>42</v>
      </c>
      <c r="D23" s="2" t="s">
        <v>5</v>
      </c>
      <c r="E23" s="2" t="s">
        <v>43</v>
      </c>
      <c r="F23" s="13"/>
      <c r="G23" s="15" t="s">
        <v>44</v>
      </c>
      <c r="H23" s="15" t="s">
        <v>45</v>
      </c>
      <c r="I23" s="15" t="s">
        <v>46</v>
      </c>
      <c r="J23" s="12"/>
    </row>
    <row r="24" customFormat="false" ht="15" hidden="false" customHeight="false" outlineLevel="0" collapsed="false">
      <c r="A24" s="12"/>
      <c r="B24" s="3" t="s">
        <v>47</v>
      </c>
      <c r="C24" s="3" t="n">
        <v>175</v>
      </c>
      <c r="D24" s="6" t="n">
        <f aca="false">'1. Cadastro de Insumos'!F2</f>
        <v>0.0028</v>
      </c>
      <c r="E24" s="5" t="n">
        <f aca="false">C24*D24</f>
        <v>0.49</v>
      </c>
      <c r="F24" s="13"/>
      <c r="G24" s="3" t="s">
        <v>48</v>
      </c>
      <c r="H24" s="3"/>
      <c r="I24" s="16" t="n">
        <f aca="false">SUM(E29:E33)</f>
        <v>16.4283333333333</v>
      </c>
      <c r="J24" s="12"/>
    </row>
    <row r="25" customFormat="false" ht="15" hidden="false" customHeight="false" outlineLevel="0" collapsed="false">
      <c r="A25" s="12"/>
      <c r="B25" s="3" t="s">
        <v>49</v>
      </c>
      <c r="C25" s="3" t="n">
        <v>150</v>
      </c>
      <c r="D25" s="6" t="n">
        <f aca="false">'1. Cadastro de Insumos'!F3</f>
        <v>0.004</v>
      </c>
      <c r="E25" s="5" t="n">
        <f aca="false">C25*D25</f>
        <v>0.6</v>
      </c>
      <c r="F25" s="13"/>
      <c r="G25" s="3" t="s">
        <v>50</v>
      </c>
      <c r="H25" s="17" t="n">
        <v>0.1</v>
      </c>
      <c r="I25" s="16" t="n">
        <f aca="false">I24*H25</f>
        <v>1.64283333333333</v>
      </c>
      <c r="J25" s="12"/>
    </row>
    <row r="26" customFormat="false" ht="15" hidden="false" customHeight="false" outlineLevel="0" collapsed="false">
      <c r="A26" s="12"/>
      <c r="B26" s="3" t="s">
        <v>51</v>
      </c>
      <c r="C26" s="3" t="n">
        <v>3.5</v>
      </c>
      <c r="D26" s="6" t="n">
        <f aca="false">'1. Cadastro de Insumos'!F4</f>
        <v>0.666666666666667</v>
      </c>
      <c r="E26" s="5" t="n">
        <f aca="false">C26*D26</f>
        <v>2.33333333333333</v>
      </c>
      <c r="F26" s="13"/>
      <c r="G26" s="3" t="s">
        <v>52</v>
      </c>
      <c r="H26" s="17" t="n">
        <v>0.2</v>
      </c>
      <c r="I26" s="16" t="n">
        <f aca="false">(I24+I25)*H26</f>
        <v>3.61423333333333</v>
      </c>
      <c r="J26" s="12"/>
    </row>
    <row r="27" customFormat="false" ht="15" hidden="false" customHeight="false" outlineLevel="0" collapsed="false">
      <c r="A27" s="12"/>
      <c r="B27" s="3" t="s">
        <v>53</v>
      </c>
      <c r="C27" s="3" t="n">
        <v>7.5</v>
      </c>
      <c r="D27" s="6" t="n">
        <f aca="false">'1. Cadastro de Insumos'!F5</f>
        <v>0.044</v>
      </c>
      <c r="E27" s="5" t="n">
        <f aca="false">C27*D27</f>
        <v>0.33</v>
      </c>
      <c r="F27" s="13"/>
      <c r="G27" s="3" t="s">
        <v>54</v>
      </c>
      <c r="H27" s="3"/>
      <c r="I27" s="16" t="n">
        <f aca="false">SUM(I24:I26)</f>
        <v>21.6854</v>
      </c>
      <c r="J27" s="12"/>
    </row>
    <row r="28" customFormat="false" ht="15" hidden="false" customHeight="false" outlineLevel="0" collapsed="false">
      <c r="A28" s="12"/>
      <c r="B28" s="3" t="s">
        <v>55</v>
      </c>
      <c r="C28" s="3" t="n">
        <v>15</v>
      </c>
      <c r="D28" s="6" t="n">
        <f aca="false">'1. Cadastro de Insumos'!F6</f>
        <v>0.045</v>
      </c>
      <c r="E28" s="5" t="n">
        <f aca="false">C28*D28</f>
        <v>0.675</v>
      </c>
      <c r="F28" s="13"/>
      <c r="G28" s="3" t="s">
        <v>56</v>
      </c>
      <c r="H28" s="17" t="n">
        <v>1.5</v>
      </c>
      <c r="I28" s="16"/>
      <c r="J28" s="12"/>
    </row>
    <row r="29" customFormat="false" ht="15" hidden="false" customHeight="false" outlineLevel="0" collapsed="false">
      <c r="A29" s="12"/>
      <c r="B29" s="26"/>
      <c r="C29" s="26"/>
      <c r="D29" s="6"/>
      <c r="E29" s="18" t="n">
        <f aca="false">SUM(E24:E28)</f>
        <v>4.42833333333333</v>
      </c>
      <c r="F29" s="13"/>
      <c r="G29" s="19" t="s">
        <v>57</v>
      </c>
      <c r="H29" s="3"/>
      <c r="I29" s="20" t="n">
        <f aca="false">I27*(1+H28)</f>
        <v>54.2135</v>
      </c>
      <c r="J29" s="12"/>
    </row>
    <row r="30" customFormat="false" ht="15" hidden="false" customHeight="false" outlineLevel="0" collapsed="false">
      <c r="A30" s="12"/>
      <c r="B30" s="26"/>
      <c r="C30" s="26"/>
      <c r="D30" s="6"/>
      <c r="E30" s="18"/>
      <c r="F30" s="13"/>
      <c r="G30" s="19"/>
      <c r="H30" s="3"/>
      <c r="I30" s="20"/>
      <c r="J30" s="12"/>
    </row>
    <row r="31" customFormat="false" ht="15" hidden="false" customHeight="false" outlineLevel="0" collapsed="false">
      <c r="A31" s="12"/>
      <c r="B31" s="21" t="s">
        <v>58</v>
      </c>
      <c r="C31" s="21"/>
      <c r="D31" s="21"/>
      <c r="E31" s="21"/>
      <c r="F31" s="13"/>
      <c r="G31" s="3" t="s">
        <v>25</v>
      </c>
      <c r="H31" s="3"/>
      <c r="I31" s="16" t="n">
        <f aca="false">E34</f>
        <v>4.8</v>
      </c>
      <c r="J31" s="12"/>
    </row>
    <row r="32" customFormat="false" ht="15" hidden="false" customHeight="false" outlineLevel="0" collapsed="false">
      <c r="A32" s="12"/>
      <c r="B32" s="26" t="s">
        <v>59</v>
      </c>
      <c r="C32" s="26" t="n">
        <v>1</v>
      </c>
      <c r="D32" s="6" t="n">
        <f aca="false">'1. Cadastro de Insumos'!E9</f>
        <v>6</v>
      </c>
      <c r="E32" s="5" t="n">
        <f aca="false">C32*D32</f>
        <v>6</v>
      </c>
      <c r="F32" s="13"/>
      <c r="G32" s="3" t="s">
        <v>60</v>
      </c>
      <c r="H32" s="3" t="n">
        <v>1</v>
      </c>
      <c r="I32" s="16" t="n">
        <v>2.5</v>
      </c>
      <c r="J32" s="12"/>
    </row>
    <row r="33" customFormat="false" ht="15" hidden="false" customHeight="false" outlineLevel="0" collapsed="false">
      <c r="A33" s="12"/>
      <c r="B33" s="26" t="s">
        <v>61</v>
      </c>
      <c r="C33" s="26" t="n">
        <v>2</v>
      </c>
      <c r="D33" s="6" t="n">
        <f aca="false">'1. Cadastro de Insumos'!E10</f>
        <v>3</v>
      </c>
      <c r="E33" s="5" t="n">
        <f aca="false">C33*D33</f>
        <v>6</v>
      </c>
      <c r="F33" s="13"/>
      <c r="G33" s="3"/>
      <c r="H33" s="3"/>
      <c r="I33" s="16"/>
      <c r="J33" s="12"/>
    </row>
    <row r="34" customFormat="false" ht="15" hidden="false" customHeight="false" outlineLevel="0" collapsed="false">
      <c r="A34" s="12"/>
      <c r="B34" s="26" t="s">
        <v>25</v>
      </c>
      <c r="C34" s="26" t="n">
        <v>60</v>
      </c>
      <c r="D34" s="6" t="n">
        <f aca="false">'1. Cadastro de Insumos'!F11</f>
        <v>0.08</v>
      </c>
      <c r="E34" s="5" t="n">
        <f aca="false">C34*D34</f>
        <v>4.8</v>
      </c>
      <c r="F34" s="13"/>
      <c r="G34" s="19" t="s">
        <v>41</v>
      </c>
      <c r="H34" s="3"/>
      <c r="I34" s="23" t="n">
        <f aca="false">SUM(I29:I33)</f>
        <v>61.5135</v>
      </c>
      <c r="J34" s="12"/>
    </row>
    <row r="35" customFormat="false" ht="15" hidden="false" customHeight="false" outlineLevel="0" collapsed="false">
      <c r="A35" s="12"/>
      <c r="B35" s="26"/>
      <c r="C35" s="26"/>
      <c r="D35" s="26"/>
      <c r="E35" s="18" t="n">
        <f aca="false">SUM(E32:E34)</f>
        <v>16.8</v>
      </c>
      <c r="F35" s="13"/>
      <c r="G35" s="3"/>
      <c r="H35" s="3"/>
      <c r="I35" s="3"/>
      <c r="J35" s="12"/>
    </row>
    <row r="36" customFormat="false" ht="15" hidden="false" customHeight="false" outlineLevel="0" collapsed="false">
      <c r="A36" s="12"/>
      <c r="B36" s="26"/>
      <c r="C36" s="24" t="s">
        <v>62</v>
      </c>
      <c r="D36" s="24"/>
      <c r="E36" s="25" t="n">
        <f aca="false">SUM(E29,E35)</f>
        <v>21.2283333333333</v>
      </c>
      <c r="F36" s="13"/>
      <c r="G36" s="3"/>
      <c r="H36" s="3"/>
      <c r="I36" s="3"/>
      <c r="J36" s="12"/>
    </row>
    <row r="37" customFormat="false" ht="15" hidden="false" customHeight="false" outlineLevel="0" collapsed="false">
      <c r="A37" s="12"/>
      <c r="B37" s="26"/>
      <c r="C37" s="26"/>
      <c r="D37" s="26"/>
      <c r="E37" s="26"/>
      <c r="F37" s="13"/>
      <c r="G37" s="3"/>
      <c r="H37" s="3"/>
      <c r="I37" s="3"/>
      <c r="J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customFormat="false" ht="15" hidden="false" customHeight="false" outlineLevel="0" collapsed="false">
      <c r="A41" s="12"/>
      <c r="B41" s="0" t="s">
        <v>39</v>
      </c>
      <c r="C41" s="0" t="s">
        <v>64</v>
      </c>
      <c r="F41" s="13"/>
      <c r="G41" s="14" t="s">
        <v>41</v>
      </c>
      <c r="H41" s="14"/>
      <c r="I41" s="14"/>
      <c r="J41" s="12"/>
    </row>
    <row r="42" customFormat="false" ht="15" hidden="false" customHeight="false" outlineLevel="0" collapsed="false">
      <c r="A42" s="12"/>
      <c r="F42" s="13"/>
      <c r="J42" s="12"/>
    </row>
    <row r="43" customFormat="false" ht="15" hidden="false" customHeight="false" outlineLevel="0" collapsed="false">
      <c r="A43" s="12"/>
      <c r="B43" s="2" t="s">
        <v>0</v>
      </c>
      <c r="C43" s="2" t="s">
        <v>42</v>
      </c>
      <c r="D43" s="2" t="s">
        <v>5</v>
      </c>
      <c r="E43" s="2" t="s">
        <v>43</v>
      </c>
      <c r="F43" s="13"/>
      <c r="G43" s="15" t="s">
        <v>44</v>
      </c>
      <c r="H43" s="15" t="s">
        <v>45</v>
      </c>
      <c r="I43" s="15" t="s">
        <v>46</v>
      </c>
      <c r="J43" s="12"/>
    </row>
    <row r="44" customFormat="false" ht="15" hidden="false" customHeight="false" outlineLevel="0" collapsed="false">
      <c r="A44" s="12"/>
      <c r="B44" s="3" t="s">
        <v>47</v>
      </c>
      <c r="C44" s="3" t="n">
        <v>175</v>
      </c>
      <c r="D44" s="6" t="n">
        <f aca="false">'1. Cadastro de Insumos'!F2</f>
        <v>0.0028</v>
      </c>
      <c r="E44" s="5" t="n">
        <f aca="false">C44*D44</f>
        <v>0.49</v>
      </c>
      <c r="F44" s="13"/>
      <c r="G44" s="3" t="s">
        <v>48</v>
      </c>
      <c r="H44" s="3"/>
      <c r="I44" s="16" t="n">
        <f aca="false">SUM(E49:E53)</f>
        <v>16.4283333333333</v>
      </c>
      <c r="J44" s="12"/>
    </row>
    <row r="45" customFormat="false" ht="15" hidden="false" customHeight="false" outlineLevel="0" collapsed="false">
      <c r="A45" s="12"/>
      <c r="B45" s="3" t="s">
        <v>49</v>
      </c>
      <c r="C45" s="3" t="n">
        <v>150</v>
      </c>
      <c r="D45" s="6" t="n">
        <f aca="false">'1. Cadastro de Insumos'!F3</f>
        <v>0.004</v>
      </c>
      <c r="E45" s="5" t="n">
        <f aca="false">C45*D45</f>
        <v>0.6</v>
      </c>
      <c r="F45" s="13"/>
      <c r="G45" s="3" t="s">
        <v>50</v>
      </c>
      <c r="H45" s="17" t="n">
        <v>0.1</v>
      </c>
      <c r="I45" s="16" t="n">
        <f aca="false">I44*H45</f>
        <v>1.64283333333333</v>
      </c>
      <c r="J45" s="12"/>
    </row>
    <row r="46" customFormat="false" ht="15" hidden="false" customHeight="false" outlineLevel="0" collapsed="false">
      <c r="A46" s="12"/>
      <c r="B46" s="3" t="s">
        <v>51</v>
      </c>
      <c r="C46" s="3" t="n">
        <v>3.5</v>
      </c>
      <c r="D46" s="6" t="n">
        <f aca="false">'1. Cadastro de Insumos'!F4</f>
        <v>0.666666666666667</v>
      </c>
      <c r="E46" s="5" t="n">
        <f aca="false">C46*D46</f>
        <v>2.33333333333333</v>
      </c>
      <c r="F46" s="13"/>
      <c r="G46" s="3" t="s">
        <v>52</v>
      </c>
      <c r="H46" s="17" t="n">
        <v>0.2</v>
      </c>
      <c r="I46" s="16" t="n">
        <f aca="false">(I44+I45)*H46</f>
        <v>3.61423333333333</v>
      </c>
      <c r="J46" s="12"/>
    </row>
    <row r="47" customFormat="false" ht="15" hidden="false" customHeight="false" outlineLevel="0" collapsed="false">
      <c r="A47" s="12"/>
      <c r="B47" s="3" t="s">
        <v>53</v>
      </c>
      <c r="C47" s="3" t="n">
        <v>7.5</v>
      </c>
      <c r="D47" s="6" t="n">
        <f aca="false">'1. Cadastro de Insumos'!F5</f>
        <v>0.044</v>
      </c>
      <c r="E47" s="5" t="n">
        <f aca="false">C47*D47</f>
        <v>0.33</v>
      </c>
      <c r="F47" s="13"/>
      <c r="G47" s="3" t="s">
        <v>54</v>
      </c>
      <c r="H47" s="3"/>
      <c r="I47" s="16" t="n">
        <f aca="false">SUM(I44:I46)</f>
        <v>21.6854</v>
      </c>
      <c r="J47" s="12"/>
    </row>
    <row r="48" customFormat="false" ht="15" hidden="false" customHeight="false" outlineLevel="0" collapsed="false">
      <c r="A48" s="12"/>
      <c r="B48" s="3" t="s">
        <v>55</v>
      </c>
      <c r="C48" s="3" t="n">
        <v>15</v>
      </c>
      <c r="D48" s="6" t="n">
        <f aca="false">'1. Cadastro de Insumos'!F6</f>
        <v>0.045</v>
      </c>
      <c r="E48" s="5" t="n">
        <f aca="false">C48*D48</f>
        <v>0.675</v>
      </c>
      <c r="F48" s="13"/>
      <c r="G48" s="3" t="s">
        <v>56</v>
      </c>
      <c r="H48" s="17" t="n">
        <v>1.5</v>
      </c>
      <c r="I48" s="16"/>
      <c r="J48" s="12"/>
    </row>
    <row r="49" customFormat="false" ht="15" hidden="false" customHeight="false" outlineLevel="0" collapsed="false">
      <c r="A49" s="12"/>
      <c r="B49" s="3"/>
      <c r="C49" s="3"/>
      <c r="D49" s="6"/>
      <c r="E49" s="18" t="n">
        <f aca="false">SUM(E44:E48)</f>
        <v>4.42833333333333</v>
      </c>
      <c r="F49" s="13"/>
      <c r="G49" s="19" t="s">
        <v>57</v>
      </c>
      <c r="H49" s="3"/>
      <c r="I49" s="20" t="n">
        <f aca="false">I47*(1+H48)</f>
        <v>54.2135</v>
      </c>
      <c r="J49" s="12"/>
    </row>
    <row r="50" customFormat="false" ht="15" hidden="false" customHeight="false" outlineLevel="0" collapsed="false">
      <c r="A50" s="12"/>
      <c r="B50" s="3"/>
      <c r="C50" s="3"/>
      <c r="D50" s="6"/>
      <c r="E50" s="18"/>
      <c r="F50" s="13"/>
      <c r="G50" s="19"/>
      <c r="H50" s="3"/>
      <c r="I50" s="20"/>
      <c r="J50" s="12"/>
    </row>
    <row r="51" customFormat="false" ht="15" hidden="false" customHeight="false" outlineLevel="0" collapsed="false">
      <c r="A51" s="12"/>
      <c r="B51" s="21" t="s">
        <v>58</v>
      </c>
      <c r="C51" s="21"/>
      <c r="D51" s="21"/>
      <c r="E51" s="21"/>
      <c r="F51" s="13"/>
      <c r="G51" s="3" t="s">
        <v>27</v>
      </c>
      <c r="H51" s="3"/>
      <c r="I51" s="16" t="n">
        <f aca="false">E54</f>
        <v>5.5</v>
      </c>
      <c r="J51" s="12"/>
    </row>
    <row r="52" customFormat="false" ht="15" hidden="false" customHeight="false" outlineLevel="0" collapsed="false">
      <c r="A52" s="12"/>
      <c r="B52" s="3" t="s">
        <v>59</v>
      </c>
      <c r="C52" s="3" t="n">
        <v>1</v>
      </c>
      <c r="D52" s="6" t="n">
        <f aca="false">'1. Cadastro de Insumos'!E9</f>
        <v>6</v>
      </c>
      <c r="E52" s="5" t="n">
        <f aca="false">C52*D52</f>
        <v>6</v>
      </c>
      <c r="F52" s="13"/>
      <c r="G52" s="3" t="s">
        <v>60</v>
      </c>
      <c r="H52" s="3" t="n">
        <v>1</v>
      </c>
      <c r="I52" s="16" t="n">
        <v>2.5</v>
      </c>
      <c r="J52" s="12"/>
    </row>
    <row r="53" customFormat="false" ht="15" hidden="false" customHeight="false" outlineLevel="0" collapsed="false">
      <c r="A53" s="12"/>
      <c r="B53" s="3" t="s">
        <v>61</v>
      </c>
      <c r="C53" s="3" t="n">
        <v>2</v>
      </c>
      <c r="D53" s="6" t="n">
        <f aca="false">'1. Cadastro de Insumos'!E10</f>
        <v>3</v>
      </c>
      <c r="E53" s="5" t="n">
        <f aca="false">C53*D53</f>
        <v>6</v>
      </c>
      <c r="F53" s="13"/>
      <c r="G53" s="3"/>
      <c r="H53" s="3"/>
      <c r="I53" s="16"/>
      <c r="J53" s="12"/>
    </row>
    <row r="54" customFormat="false" ht="15" hidden="false" customHeight="false" outlineLevel="0" collapsed="false">
      <c r="A54" s="12"/>
      <c r="B54" s="3" t="s">
        <v>27</v>
      </c>
      <c r="C54" s="3" t="n">
        <v>100</v>
      </c>
      <c r="D54" s="6" t="n">
        <f aca="false">'1. Cadastro de Insumos'!F12</f>
        <v>0.055</v>
      </c>
      <c r="E54" s="5" t="n">
        <f aca="false">C54*D54</f>
        <v>5.5</v>
      </c>
      <c r="F54" s="13"/>
      <c r="G54" s="19" t="s">
        <v>41</v>
      </c>
      <c r="H54" s="3"/>
      <c r="I54" s="23" t="n">
        <f aca="false">SUM(I49:I53)</f>
        <v>62.2135</v>
      </c>
      <c r="J54" s="12"/>
    </row>
    <row r="55" customFormat="false" ht="15" hidden="false" customHeight="false" outlineLevel="0" collapsed="false">
      <c r="A55" s="12"/>
      <c r="B55" s="3"/>
      <c r="C55" s="3"/>
      <c r="D55" s="3"/>
      <c r="E55" s="18" t="n">
        <f aca="false">SUM(E52:E54)</f>
        <v>17.5</v>
      </c>
      <c r="F55" s="13"/>
      <c r="G55" s="3"/>
      <c r="H55" s="3"/>
      <c r="I55" s="3"/>
      <c r="J55" s="12"/>
    </row>
    <row r="56" customFormat="false" ht="15" hidden="false" customHeight="false" outlineLevel="0" collapsed="false">
      <c r="A56" s="12"/>
      <c r="B56" s="3"/>
      <c r="C56" s="24" t="s">
        <v>62</v>
      </c>
      <c r="D56" s="24"/>
      <c r="E56" s="25" t="n">
        <f aca="false">SUM(E49,E55)</f>
        <v>21.9283333333333</v>
      </c>
      <c r="F56" s="13"/>
      <c r="G56" s="3"/>
      <c r="H56" s="3"/>
      <c r="I56" s="3"/>
      <c r="J56" s="12"/>
    </row>
    <row r="57" customFormat="false" ht="15" hidden="false" customHeight="false" outlineLevel="0" collapsed="false">
      <c r="A57" s="12"/>
      <c r="B57" s="3"/>
      <c r="C57" s="3"/>
      <c r="D57" s="3"/>
      <c r="E57" s="3"/>
      <c r="F57" s="13"/>
      <c r="G57" s="3"/>
      <c r="H57" s="3"/>
      <c r="I57" s="3"/>
      <c r="J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customFormat="false" ht="15" hidden="false" customHeight="false" outlineLevel="0" collapsed="false">
      <c r="A61" s="12"/>
      <c r="B61" s="0" t="s">
        <v>39</v>
      </c>
      <c r="C61" s="0" t="s">
        <v>65</v>
      </c>
      <c r="F61" s="13"/>
      <c r="G61" s="14" t="s">
        <v>41</v>
      </c>
      <c r="H61" s="14"/>
      <c r="I61" s="14"/>
      <c r="J61" s="12"/>
    </row>
    <row r="62" customFormat="false" ht="15" hidden="false" customHeight="false" outlineLevel="0" collapsed="false">
      <c r="A62" s="12"/>
      <c r="F62" s="13"/>
      <c r="J62" s="12"/>
    </row>
    <row r="63" customFormat="false" ht="15" hidden="false" customHeight="false" outlineLevel="0" collapsed="false">
      <c r="A63" s="12"/>
      <c r="B63" s="2" t="s">
        <v>0</v>
      </c>
      <c r="C63" s="2" t="s">
        <v>42</v>
      </c>
      <c r="D63" s="2" t="s">
        <v>5</v>
      </c>
      <c r="E63" s="2" t="s">
        <v>43</v>
      </c>
      <c r="F63" s="13"/>
      <c r="G63" s="15" t="s">
        <v>44</v>
      </c>
      <c r="H63" s="15" t="s">
        <v>45</v>
      </c>
      <c r="I63" s="15" t="s">
        <v>46</v>
      </c>
      <c r="J63" s="12"/>
    </row>
    <row r="64" customFormat="false" ht="15" hidden="false" customHeight="false" outlineLevel="0" collapsed="false">
      <c r="A64" s="12"/>
      <c r="B64" s="3" t="s">
        <v>47</v>
      </c>
      <c r="C64" s="3" t="n">
        <v>175</v>
      </c>
      <c r="D64" s="6" t="n">
        <f aca="false">'1. Cadastro de Insumos'!F2</f>
        <v>0.0028</v>
      </c>
      <c r="E64" s="5" t="n">
        <f aca="false">C64*D64</f>
        <v>0.49</v>
      </c>
      <c r="F64" s="13"/>
      <c r="G64" s="3" t="s">
        <v>48</v>
      </c>
      <c r="H64" s="3"/>
      <c r="I64" s="16" t="n">
        <f aca="false">SUM(E69:E73)</f>
        <v>16.4283333333333</v>
      </c>
      <c r="J64" s="12"/>
    </row>
    <row r="65" customFormat="false" ht="15" hidden="false" customHeight="false" outlineLevel="0" collapsed="false">
      <c r="A65" s="12"/>
      <c r="B65" s="3" t="s">
        <v>49</v>
      </c>
      <c r="C65" s="3" t="n">
        <v>150</v>
      </c>
      <c r="D65" s="6" t="n">
        <f aca="false">'1. Cadastro de Insumos'!F3</f>
        <v>0.004</v>
      </c>
      <c r="E65" s="5" t="n">
        <f aca="false">C65*D65</f>
        <v>0.6</v>
      </c>
      <c r="F65" s="13"/>
      <c r="G65" s="3" t="s">
        <v>50</v>
      </c>
      <c r="H65" s="17" t="n">
        <v>0.1</v>
      </c>
      <c r="I65" s="16" t="n">
        <f aca="false">I64*H65</f>
        <v>1.64283333333333</v>
      </c>
      <c r="J65" s="12"/>
    </row>
    <row r="66" customFormat="false" ht="15" hidden="false" customHeight="false" outlineLevel="0" collapsed="false">
      <c r="A66" s="12"/>
      <c r="B66" s="3" t="s">
        <v>51</v>
      </c>
      <c r="C66" s="3" t="n">
        <v>3.5</v>
      </c>
      <c r="D66" s="6" t="n">
        <f aca="false">'1. Cadastro de Insumos'!F4</f>
        <v>0.666666666666667</v>
      </c>
      <c r="E66" s="5" t="n">
        <f aca="false">C66*D66</f>
        <v>2.33333333333333</v>
      </c>
      <c r="F66" s="13"/>
      <c r="G66" s="3" t="s">
        <v>52</v>
      </c>
      <c r="H66" s="17" t="n">
        <v>0.2</v>
      </c>
      <c r="I66" s="16" t="n">
        <f aca="false">(I64+I65)*H66</f>
        <v>3.61423333333333</v>
      </c>
      <c r="J66" s="12"/>
    </row>
    <row r="67" customFormat="false" ht="15" hidden="false" customHeight="false" outlineLevel="0" collapsed="false">
      <c r="A67" s="12"/>
      <c r="B67" s="3" t="s">
        <v>53</v>
      </c>
      <c r="C67" s="3" t="n">
        <v>7.5</v>
      </c>
      <c r="D67" s="6" t="n">
        <f aca="false">'1. Cadastro de Insumos'!F5</f>
        <v>0.044</v>
      </c>
      <c r="E67" s="5" t="n">
        <f aca="false">C67*D67</f>
        <v>0.33</v>
      </c>
      <c r="F67" s="13"/>
      <c r="G67" s="3" t="s">
        <v>54</v>
      </c>
      <c r="H67" s="3"/>
      <c r="I67" s="16" t="n">
        <f aca="false">SUM(I64:I66)</f>
        <v>21.6854</v>
      </c>
      <c r="J67" s="12"/>
    </row>
    <row r="68" customFormat="false" ht="15" hidden="false" customHeight="false" outlineLevel="0" collapsed="false">
      <c r="A68" s="12"/>
      <c r="B68" s="3" t="s">
        <v>55</v>
      </c>
      <c r="C68" s="3" t="n">
        <v>15</v>
      </c>
      <c r="D68" s="6" t="n">
        <f aca="false">'1. Cadastro de Insumos'!F6</f>
        <v>0.045</v>
      </c>
      <c r="E68" s="5" t="n">
        <f aca="false">C68*D68</f>
        <v>0.675</v>
      </c>
      <c r="F68" s="13"/>
      <c r="G68" s="3" t="s">
        <v>56</v>
      </c>
      <c r="H68" s="17" t="n">
        <v>1.5</v>
      </c>
      <c r="I68" s="16"/>
      <c r="J68" s="12"/>
    </row>
    <row r="69" customFormat="false" ht="15" hidden="false" customHeight="false" outlineLevel="0" collapsed="false">
      <c r="A69" s="12"/>
      <c r="B69" s="3"/>
      <c r="C69" s="3"/>
      <c r="D69" s="6"/>
      <c r="E69" s="18" t="n">
        <f aca="false">SUM(E64:E68)</f>
        <v>4.42833333333333</v>
      </c>
      <c r="F69" s="13"/>
      <c r="G69" s="19" t="s">
        <v>57</v>
      </c>
      <c r="H69" s="3"/>
      <c r="I69" s="20" t="n">
        <f aca="false">I67*(1+H68)</f>
        <v>54.2135</v>
      </c>
      <c r="J69" s="12"/>
    </row>
    <row r="70" customFormat="false" ht="15" hidden="false" customHeight="false" outlineLevel="0" collapsed="false">
      <c r="A70" s="12"/>
      <c r="B70" s="3"/>
      <c r="C70" s="3"/>
      <c r="D70" s="6"/>
      <c r="E70" s="18"/>
      <c r="F70" s="13"/>
      <c r="G70" s="19"/>
      <c r="H70" s="3"/>
      <c r="I70" s="20"/>
      <c r="J70" s="12"/>
    </row>
    <row r="71" customFormat="false" ht="15" hidden="false" customHeight="false" outlineLevel="0" collapsed="false">
      <c r="A71" s="12"/>
      <c r="B71" s="21" t="s">
        <v>58</v>
      </c>
      <c r="C71" s="21"/>
      <c r="D71" s="21"/>
      <c r="E71" s="21"/>
      <c r="F71" s="13"/>
      <c r="G71" s="3" t="s">
        <v>38</v>
      </c>
      <c r="H71" s="3"/>
      <c r="I71" s="16" t="n">
        <f aca="false">E74</f>
        <v>8.4</v>
      </c>
      <c r="J71" s="12"/>
    </row>
    <row r="72" customFormat="false" ht="15" hidden="false" customHeight="false" outlineLevel="0" collapsed="false">
      <c r="A72" s="12"/>
      <c r="B72" s="3" t="s">
        <v>59</v>
      </c>
      <c r="C72" s="3" t="n">
        <v>1</v>
      </c>
      <c r="D72" s="6" t="n">
        <f aca="false">'1. Cadastro de Insumos'!E9</f>
        <v>6</v>
      </c>
      <c r="E72" s="5" t="n">
        <f aca="false">C72*D72</f>
        <v>6</v>
      </c>
      <c r="F72" s="13"/>
      <c r="G72" s="3" t="s">
        <v>60</v>
      </c>
      <c r="H72" s="3" t="n">
        <v>1</v>
      </c>
      <c r="I72" s="16" t="n">
        <v>2.5</v>
      </c>
      <c r="J72" s="12"/>
    </row>
    <row r="73" customFormat="false" ht="15" hidden="false" customHeight="false" outlineLevel="0" collapsed="false">
      <c r="A73" s="12"/>
      <c r="B73" s="3" t="s">
        <v>61</v>
      </c>
      <c r="C73" s="3" t="n">
        <v>2</v>
      </c>
      <c r="D73" s="6" t="n">
        <f aca="false">'1. Cadastro de Insumos'!E10</f>
        <v>3</v>
      </c>
      <c r="E73" s="5" t="n">
        <f aca="false">C73*D73</f>
        <v>6</v>
      </c>
      <c r="F73" s="13"/>
      <c r="G73" s="3"/>
      <c r="H73" s="3"/>
      <c r="I73" s="16"/>
      <c r="J73" s="12"/>
    </row>
    <row r="74" customFormat="false" ht="15" hidden="false" customHeight="false" outlineLevel="0" collapsed="false">
      <c r="A74" s="12"/>
      <c r="B74" s="3" t="s">
        <v>38</v>
      </c>
      <c r="C74" s="3" t="n">
        <v>6</v>
      </c>
      <c r="D74" s="6" t="n">
        <f aca="false">'1. Cadastro de Insumos'!F17</f>
        <v>1.4</v>
      </c>
      <c r="E74" s="5" t="n">
        <f aca="false">C74*D74</f>
        <v>8.4</v>
      </c>
      <c r="F74" s="13"/>
      <c r="G74" s="19" t="s">
        <v>41</v>
      </c>
      <c r="H74" s="3"/>
      <c r="I74" s="23" t="n">
        <f aca="false">SUM(I69:I73)</f>
        <v>65.1135</v>
      </c>
      <c r="J74" s="12"/>
    </row>
    <row r="75" customFormat="false" ht="15" hidden="false" customHeight="false" outlineLevel="0" collapsed="false">
      <c r="A75" s="12"/>
      <c r="B75" s="3"/>
      <c r="C75" s="3"/>
      <c r="D75" s="3"/>
      <c r="E75" s="18" t="n">
        <f aca="false">SUM(E72:E74)</f>
        <v>20.4</v>
      </c>
      <c r="F75" s="13"/>
      <c r="G75" s="3"/>
      <c r="H75" s="3"/>
      <c r="I75" s="3"/>
      <c r="J75" s="12"/>
    </row>
    <row r="76" customFormat="false" ht="15" hidden="false" customHeight="false" outlineLevel="0" collapsed="false">
      <c r="A76" s="12"/>
      <c r="B76" s="3"/>
      <c r="C76" s="24" t="s">
        <v>62</v>
      </c>
      <c r="D76" s="24"/>
      <c r="E76" s="25" t="n">
        <f aca="false">SUM(E69,E75)</f>
        <v>24.8283333333333</v>
      </c>
      <c r="F76" s="13"/>
      <c r="G76" s="3"/>
      <c r="H76" s="3"/>
      <c r="I76" s="3"/>
      <c r="J76" s="12"/>
    </row>
    <row r="77" customFormat="false" ht="15" hidden="false" customHeight="false" outlineLevel="0" collapsed="false">
      <c r="A77" s="12"/>
      <c r="B77" s="3"/>
      <c r="C77" s="3"/>
      <c r="D77" s="3"/>
      <c r="E77" s="3"/>
      <c r="F77" s="13"/>
      <c r="G77" s="3"/>
      <c r="H77" s="3"/>
      <c r="I77" s="3"/>
      <c r="J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customFormat="false" ht="15" hidden="false" customHeight="false" outlineLevel="0" collapsed="false">
      <c r="A81" s="12"/>
      <c r="B81" s="0" t="s">
        <v>39</v>
      </c>
      <c r="C81" s="0" t="s">
        <v>66</v>
      </c>
      <c r="F81" s="13"/>
      <c r="G81" s="14" t="s">
        <v>41</v>
      </c>
      <c r="H81" s="14"/>
      <c r="I81" s="14"/>
      <c r="J81" s="12"/>
    </row>
    <row r="82" customFormat="false" ht="15" hidden="false" customHeight="false" outlineLevel="0" collapsed="false">
      <c r="A82" s="12"/>
      <c r="F82" s="13"/>
      <c r="J82" s="12"/>
    </row>
    <row r="83" customFormat="false" ht="15" hidden="false" customHeight="false" outlineLevel="0" collapsed="false">
      <c r="A83" s="12"/>
      <c r="B83" s="2" t="s">
        <v>0</v>
      </c>
      <c r="C83" s="2" t="s">
        <v>42</v>
      </c>
      <c r="D83" s="2" t="s">
        <v>5</v>
      </c>
      <c r="E83" s="2" t="s">
        <v>43</v>
      </c>
      <c r="F83" s="13"/>
      <c r="G83" s="15" t="s">
        <v>44</v>
      </c>
      <c r="H83" s="15" t="s">
        <v>45</v>
      </c>
      <c r="I83" s="15" t="s">
        <v>46</v>
      </c>
      <c r="J83" s="12"/>
    </row>
    <row r="84" customFormat="false" ht="15" hidden="false" customHeight="false" outlineLevel="0" collapsed="false">
      <c r="A84" s="12"/>
      <c r="B84" s="3" t="s">
        <v>47</v>
      </c>
      <c r="C84" s="3" t="n">
        <v>175</v>
      </c>
      <c r="D84" s="6" t="n">
        <f aca="false">'1. Cadastro de Insumos'!F2</f>
        <v>0.0028</v>
      </c>
      <c r="E84" s="5" t="n">
        <f aca="false">C84*D84</f>
        <v>0.49</v>
      </c>
      <c r="F84" s="13"/>
      <c r="G84" s="3" t="s">
        <v>48</v>
      </c>
      <c r="H84" s="3"/>
      <c r="I84" s="16" t="n">
        <f aca="false">SUM(E89:E93)</f>
        <v>16.4283333333333</v>
      </c>
      <c r="J84" s="12"/>
    </row>
    <row r="85" customFormat="false" ht="15" hidden="false" customHeight="false" outlineLevel="0" collapsed="false">
      <c r="A85" s="12"/>
      <c r="B85" s="3" t="s">
        <v>49</v>
      </c>
      <c r="C85" s="3" t="n">
        <v>150</v>
      </c>
      <c r="D85" s="6" t="n">
        <f aca="false">'1. Cadastro de Insumos'!F3</f>
        <v>0.004</v>
      </c>
      <c r="E85" s="5" t="n">
        <f aca="false">C85*D85</f>
        <v>0.6</v>
      </c>
      <c r="F85" s="13"/>
      <c r="G85" s="3" t="s">
        <v>50</v>
      </c>
      <c r="H85" s="17" t="n">
        <v>0.1</v>
      </c>
      <c r="I85" s="16" t="n">
        <f aca="false">I84*H85</f>
        <v>1.64283333333333</v>
      </c>
      <c r="J85" s="12"/>
    </row>
    <row r="86" customFormat="false" ht="15" hidden="false" customHeight="false" outlineLevel="0" collapsed="false">
      <c r="A86" s="12"/>
      <c r="B86" s="3" t="s">
        <v>51</v>
      </c>
      <c r="C86" s="3" t="n">
        <v>3.5</v>
      </c>
      <c r="D86" s="6" t="n">
        <f aca="false">'1. Cadastro de Insumos'!F4</f>
        <v>0.666666666666667</v>
      </c>
      <c r="E86" s="5" t="n">
        <f aca="false">C86*D86</f>
        <v>2.33333333333333</v>
      </c>
      <c r="F86" s="13"/>
      <c r="G86" s="3" t="s">
        <v>52</v>
      </c>
      <c r="H86" s="17" t="n">
        <v>0.2</v>
      </c>
      <c r="I86" s="16" t="n">
        <f aca="false">(I84+I85)*H86</f>
        <v>3.61423333333333</v>
      </c>
      <c r="J86" s="12"/>
    </row>
    <row r="87" customFormat="false" ht="15" hidden="false" customHeight="false" outlineLevel="0" collapsed="false">
      <c r="A87" s="12"/>
      <c r="B87" s="3" t="s">
        <v>53</v>
      </c>
      <c r="C87" s="3" t="n">
        <v>7.5</v>
      </c>
      <c r="D87" s="6" t="n">
        <f aca="false">'1. Cadastro de Insumos'!F5</f>
        <v>0.044</v>
      </c>
      <c r="E87" s="5" t="n">
        <f aca="false">C87*D87</f>
        <v>0.33</v>
      </c>
      <c r="F87" s="13"/>
      <c r="G87" s="3" t="s">
        <v>54</v>
      </c>
      <c r="H87" s="3"/>
      <c r="I87" s="16" t="n">
        <f aca="false">SUM(I84:I86)</f>
        <v>21.6854</v>
      </c>
      <c r="J87" s="12"/>
    </row>
    <row r="88" customFormat="false" ht="15" hidden="false" customHeight="false" outlineLevel="0" collapsed="false">
      <c r="A88" s="12"/>
      <c r="B88" s="3" t="s">
        <v>55</v>
      </c>
      <c r="C88" s="3" t="n">
        <v>15</v>
      </c>
      <c r="D88" s="6" t="n">
        <f aca="false">'1. Cadastro de Insumos'!F6</f>
        <v>0.045</v>
      </c>
      <c r="E88" s="5" t="n">
        <f aca="false">C88*D88</f>
        <v>0.675</v>
      </c>
      <c r="F88" s="13"/>
      <c r="G88" s="3" t="s">
        <v>56</v>
      </c>
      <c r="H88" s="17" t="n">
        <v>1.5</v>
      </c>
      <c r="I88" s="16"/>
      <c r="J88" s="12"/>
    </row>
    <row r="89" customFormat="false" ht="15" hidden="false" customHeight="false" outlineLevel="0" collapsed="false">
      <c r="A89" s="12"/>
      <c r="B89" s="3"/>
      <c r="C89" s="3"/>
      <c r="D89" s="6"/>
      <c r="E89" s="18" t="n">
        <f aca="false">SUM(E84:E88)</f>
        <v>4.42833333333333</v>
      </c>
      <c r="F89" s="13"/>
      <c r="G89" s="19" t="s">
        <v>57</v>
      </c>
      <c r="H89" s="3"/>
      <c r="I89" s="20" t="n">
        <f aca="false">I87*(1+H88)</f>
        <v>54.2135</v>
      </c>
      <c r="J89" s="12"/>
    </row>
    <row r="90" customFormat="false" ht="15" hidden="false" customHeight="false" outlineLevel="0" collapsed="false">
      <c r="A90" s="12"/>
      <c r="B90" s="3"/>
      <c r="C90" s="3"/>
      <c r="D90" s="6"/>
      <c r="E90" s="18"/>
      <c r="F90" s="13"/>
      <c r="G90" s="19"/>
      <c r="H90" s="3"/>
      <c r="I90" s="20"/>
      <c r="J90" s="12"/>
    </row>
    <row r="91" customFormat="false" ht="15" hidden="false" customHeight="false" outlineLevel="0" collapsed="false">
      <c r="A91" s="12"/>
      <c r="B91" s="21" t="s">
        <v>58</v>
      </c>
      <c r="C91" s="21"/>
      <c r="D91" s="21"/>
      <c r="E91" s="21"/>
      <c r="F91" s="13"/>
      <c r="G91" s="3" t="s">
        <v>38</v>
      </c>
      <c r="H91" s="3"/>
      <c r="I91" s="16" t="n">
        <f aca="false">E94</f>
        <v>8.4</v>
      </c>
      <c r="J91" s="12"/>
    </row>
    <row r="92" customFormat="false" ht="15" hidden="false" customHeight="false" outlineLevel="0" collapsed="false">
      <c r="A92" s="12"/>
      <c r="B92" s="3" t="s">
        <v>59</v>
      </c>
      <c r="C92" s="3" t="n">
        <v>1</v>
      </c>
      <c r="D92" s="6" t="n">
        <f aca="false">'1. Cadastro de Insumos'!E9</f>
        <v>6</v>
      </c>
      <c r="E92" s="5" t="n">
        <f aca="false">C92*D92</f>
        <v>6</v>
      </c>
      <c r="F92" s="13"/>
      <c r="G92" s="3" t="s">
        <v>60</v>
      </c>
      <c r="H92" s="3" t="n">
        <v>1</v>
      </c>
      <c r="I92" s="16" t="n">
        <v>2.5</v>
      </c>
      <c r="J92" s="12"/>
    </row>
    <row r="93" customFormat="false" ht="15" hidden="false" customHeight="false" outlineLevel="0" collapsed="false">
      <c r="A93" s="12"/>
      <c r="B93" s="3" t="s">
        <v>61</v>
      </c>
      <c r="C93" s="3" t="n">
        <v>2</v>
      </c>
      <c r="D93" s="6" t="n">
        <f aca="false">'1. Cadastro de Insumos'!E10</f>
        <v>3</v>
      </c>
      <c r="E93" s="5" t="n">
        <f aca="false">C93*D93</f>
        <v>6</v>
      </c>
      <c r="F93" s="13"/>
      <c r="G93" s="3"/>
      <c r="H93" s="3"/>
      <c r="I93" s="16"/>
      <c r="J93" s="12"/>
    </row>
    <row r="94" customFormat="false" ht="15" hidden="false" customHeight="false" outlineLevel="0" collapsed="false">
      <c r="A94" s="12"/>
      <c r="B94" s="3" t="s">
        <v>38</v>
      </c>
      <c r="C94" s="3" t="n">
        <v>6</v>
      </c>
      <c r="D94" s="6" t="n">
        <f aca="false">'1. Cadastro de Insumos'!F16</f>
        <v>1.4</v>
      </c>
      <c r="E94" s="5" t="n">
        <f aca="false">C94*D94</f>
        <v>8.4</v>
      </c>
      <c r="F94" s="13"/>
      <c r="G94" s="19" t="s">
        <v>41</v>
      </c>
      <c r="H94" s="3"/>
      <c r="I94" s="23" t="n">
        <f aca="false">SUM(I89:I93)</f>
        <v>65.1135</v>
      </c>
      <c r="J94" s="12"/>
    </row>
    <row r="95" customFormat="false" ht="15" hidden="false" customHeight="false" outlineLevel="0" collapsed="false">
      <c r="A95" s="12"/>
      <c r="B95" s="3"/>
      <c r="C95" s="3"/>
      <c r="D95" s="3"/>
      <c r="E95" s="18" t="n">
        <f aca="false">SUM(E92:E94)</f>
        <v>20.4</v>
      </c>
      <c r="F95" s="13"/>
      <c r="G95" s="3"/>
      <c r="H95" s="3"/>
      <c r="I95" s="3"/>
      <c r="J95" s="12"/>
    </row>
    <row r="96" customFormat="false" ht="15" hidden="false" customHeight="false" outlineLevel="0" collapsed="false">
      <c r="A96" s="12"/>
      <c r="B96" s="3"/>
      <c r="C96" s="24" t="s">
        <v>62</v>
      </c>
      <c r="D96" s="24"/>
      <c r="E96" s="25" t="n">
        <f aca="false">SUM(E89,E95)</f>
        <v>24.8283333333333</v>
      </c>
      <c r="F96" s="13"/>
      <c r="G96" s="3"/>
      <c r="H96" s="3"/>
      <c r="I96" s="3"/>
      <c r="J96" s="12"/>
    </row>
    <row r="97" customFormat="false" ht="15" hidden="false" customHeight="false" outlineLevel="0" collapsed="false">
      <c r="A97" s="12"/>
      <c r="B97" s="3"/>
      <c r="C97" s="3"/>
      <c r="D97" s="3"/>
      <c r="E97" s="3"/>
      <c r="F97" s="13"/>
      <c r="G97" s="3"/>
      <c r="H97" s="3"/>
      <c r="I97" s="3"/>
      <c r="J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customFormat="false" ht="15" hidden="false" customHeight="false" outlineLevel="0" collapsed="false">
      <c r="A101" s="12"/>
      <c r="B101" s="0" t="s">
        <v>39</v>
      </c>
      <c r="C101" s="0" t="s">
        <v>67</v>
      </c>
      <c r="F101" s="13"/>
      <c r="G101" s="14" t="s">
        <v>41</v>
      </c>
      <c r="H101" s="14"/>
      <c r="I101" s="14"/>
      <c r="J101" s="12"/>
    </row>
    <row r="102" customFormat="false" ht="15" hidden="false" customHeight="false" outlineLevel="0" collapsed="false">
      <c r="A102" s="12"/>
      <c r="F102" s="13"/>
      <c r="J102" s="12"/>
    </row>
    <row r="103" customFormat="false" ht="15" hidden="false" customHeight="false" outlineLevel="0" collapsed="false">
      <c r="A103" s="12"/>
      <c r="B103" s="2" t="s">
        <v>0</v>
      </c>
      <c r="C103" s="2" t="s">
        <v>42</v>
      </c>
      <c r="D103" s="2" t="s">
        <v>5</v>
      </c>
      <c r="E103" s="2" t="s">
        <v>43</v>
      </c>
      <c r="F103" s="13"/>
      <c r="G103" s="15" t="s">
        <v>44</v>
      </c>
      <c r="H103" s="15" t="s">
        <v>45</v>
      </c>
      <c r="I103" s="15" t="s">
        <v>46</v>
      </c>
      <c r="J103" s="12"/>
    </row>
    <row r="104" customFormat="false" ht="15" hidden="false" customHeight="false" outlineLevel="0" collapsed="false">
      <c r="A104" s="12"/>
      <c r="B104" s="3" t="s">
        <v>47</v>
      </c>
      <c r="C104" s="3" t="n">
        <v>175</v>
      </c>
      <c r="D104" s="6" t="n">
        <f aca="false">'1. Cadastro de Insumos'!F2</f>
        <v>0.0028</v>
      </c>
      <c r="E104" s="5" t="n">
        <f aca="false">C104*D104</f>
        <v>0.49</v>
      </c>
      <c r="F104" s="13"/>
      <c r="G104" s="3" t="s">
        <v>48</v>
      </c>
      <c r="H104" s="3"/>
      <c r="I104" s="16" t="n">
        <f aca="false">SUM(E109:E113)</f>
        <v>16.4283333333333</v>
      </c>
      <c r="J104" s="12"/>
    </row>
    <row r="105" customFormat="false" ht="15" hidden="false" customHeight="false" outlineLevel="0" collapsed="false">
      <c r="A105" s="12"/>
      <c r="B105" s="3" t="s">
        <v>49</v>
      </c>
      <c r="C105" s="3" t="n">
        <v>150</v>
      </c>
      <c r="D105" s="6" t="n">
        <f aca="false">'1. Cadastro de Insumos'!F3</f>
        <v>0.004</v>
      </c>
      <c r="E105" s="5" t="n">
        <f aca="false">C105*D105</f>
        <v>0.6</v>
      </c>
      <c r="F105" s="13"/>
      <c r="G105" s="3" t="s">
        <v>50</v>
      </c>
      <c r="H105" s="17" t="n">
        <v>0.1</v>
      </c>
      <c r="I105" s="16" t="n">
        <f aca="false">I104*H105</f>
        <v>1.64283333333333</v>
      </c>
      <c r="J105" s="12"/>
    </row>
    <row r="106" customFormat="false" ht="15" hidden="false" customHeight="false" outlineLevel="0" collapsed="false">
      <c r="A106" s="12"/>
      <c r="B106" s="3" t="s">
        <v>51</v>
      </c>
      <c r="C106" s="3" t="n">
        <v>3.5</v>
      </c>
      <c r="D106" s="6" t="n">
        <f aca="false">'1. Cadastro de Insumos'!F4</f>
        <v>0.666666666666667</v>
      </c>
      <c r="E106" s="5" t="n">
        <f aca="false">C106*D106</f>
        <v>2.33333333333333</v>
      </c>
      <c r="F106" s="13"/>
      <c r="G106" s="3" t="s">
        <v>52</v>
      </c>
      <c r="H106" s="17" t="n">
        <v>0.2</v>
      </c>
      <c r="I106" s="16" t="n">
        <f aca="false">(I104+I105)*H106</f>
        <v>3.61423333333333</v>
      </c>
      <c r="J106" s="12"/>
    </row>
    <row r="107" customFormat="false" ht="15" hidden="false" customHeight="false" outlineLevel="0" collapsed="false">
      <c r="A107" s="12"/>
      <c r="B107" s="3" t="s">
        <v>53</v>
      </c>
      <c r="C107" s="3" t="n">
        <v>7.5</v>
      </c>
      <c r="D107" s="6" t="n">
        <f aca="false">'1. Cadastro de Insumos'!F5</f>
        <v>0.044</v>
      </c>
      <c r="E107" s="5" t="n">
        <f aca="false">C107*D107</f>
        <v>0.33</v>
      </c>
      <c r="F107" s="13"/>
      <c r="G107" s="3" t="s">
        <v>54</v>
      </c>
      <c r="H107" s="3"/>
      <c r="I107" s="16" t="n">
        <f aca="false">SUM(I104:I106)</f>
        <v>21.6854</v>
      </c>
      <c r="J107" s="12"/>
    </row>
    <row r="108" customFormat="false" ht="15" hidden="false" customHeight="false" outlineLevel="0" collapsed="false">
      <c r="A108" s="12"/>
      <c r="B108" s="3" t="s">
        <v>55</v>
      </c>
      <c r="C108" s="3" t="n">
        <v>15</v>
      </c>
      <c r="D108" s="6" t="n">
        <f aca="false">'1. Cadastro de Insumos'!F6</f>
        <v>0.045</v>
      </c>
      <c r="E108" s="5" t="n">
        <f aca="false">C108*D108</f>
        <v>0.675</v>
      </c>
      <c r="F108" s="13"/>
      <c r="G108" s="3" t="s">
        <v>56</v>
      </c>
      <c r="H108" s="17" t="n">
        <v>1.5</v>
      </c>
      <c r="I108" s="16"/>
      <c r="J108" s="12"/>
    </row>
    <row r="109" customFormat="false" ht="15" hidden="false" customHeight="false" outlineLevel="0" collapsed="false">
      <c r="A109" s="12"/>
      <c r="B109" s="3"/>
      <c r="C109" s="3"/>
      <c r="D109" s="6"/>
      <c r="E109" s="18" t="n">
        <f aca="false">SUM(E104:E108)</f>
        <v>4.42833333333333</v>
      </c>
      <c r="F109" s="13"/>
      <c r="G109" s="19" t="s">
        <v>57</v>
      </c>
      <c r="H109" s="3"/>
      <c r="I109" s="20" t="n">
        <f aca="false">I107*(1+H108)</f>
        <v>54.2135</v>
      </c>
      <c r="J109" s="12"/>
    </row>
    <row r="110" customFormat="false" ht="15" hidden="false" customHeight="false" outlineLevel="0" collapsed="false">
      <c r="A110" s="12"/>
      <c r="B110" s="3"/>
      <c r="C110" s="3"/>
      <c r="D110" s="6"/>
      <c r="E110" s="18"/>
      <c r="F110" s="13"/>
      <c r="G110" s="19"/>
      <c r="H110" s="3"/>
      <c r="I110" s="20"/>
      <c r="J110" s="12"/>
    </row>
    <row r="111" customFormat="false" ht="15" hidden="false" customHeight="false" outlineLevel="0" collapsed="false">
      <c r="A111" s="12"/>
      <c r="B111" s="21" t="s">
        <v>58</v>
      </c>
      <c r="C111" s="21"/>
      <c r="D111" s="21"/>
      <c r="E111" s="21"/>
      <c r="F111" s="13"/>
      <c r="G111" s="3" t="s">
        <v>29</v>
      </c>
      <c r="H111" s="3"/>
      <c r="I111" s="16" t="n">
        <f aca="false">E114</f>
        <v>3</v>
      </c>
      <c r="J111" s="12"/>
    </row>
    <row r="112" customFormat="false" ht="15" hidden="false" customHeight="false" outlineLevel="0" collapsed="false">
      <c r="A112" s="12"/>
      <c r="B112" s="3" t="s">
        <v>59</v>
      </c>
      <c r="C112" s="3" t="n">
        <v>1</v>
      </c>
      <c r="D112" s="6" t="n">
        <f aca="false">'1. Cadastro de Insumos'!E9</f>
        <v>6</v>
      </c>
      <c r="E112" s="5" t="n">
        <f aca="false">C112*D112</f>
        <v>6</v>
      </c>
      <c r="F112" s="13"/>
      <c r="G112" s="3" t="s">
        <v>60</v>
      </c>
      <c r="H112" s="3" t="n">
        <v>1</v>
      </c>
      <c r="I112" s="16" t="n">
        <v>2.5</v>
      </c>
      <c r="J112" s="12"/>
    </row>
    <row r="113" customFormat="false" ht="15" hidden="false" customHeight="false" outlineLevel="0" collapsed="false">
      <c r="A113" s="12"/>
      <c r="B113" s="3" t="s">
        <v>61</v>
      </c>
      <c r="C113" s="3" t="n">
        <v>2</v>
      </c>
      <c r="D113" s="6" t="n">
        <f aca="false">'1. Cadastro de Insumos'!E10</f>
        <v>3</v>
      </c>
      <c r="E113" s="5" t="n">
        <f aca="false">C113*D113</f>
        <v>6</v>
      </c>
      <c r="F113" s="13"/>
      <c r="G113" s="3"/>
      <c r="H113" s="3"/>
      <c r="I113" s="16"/>
      <c r="J113" s="12"/>
    </row>
    <row r="114" customFormat="false" ht="15" hidden="false" customHeight="false" outlineLevel="0" collapsed="false">
      <c r="A114" s="12"/>
      <c r="B114" s="3" t="s">
        <v>29</v>
      </c>
      <c r="C114" s="3" t="n">
        <v>100</v>
      </c>
      <c r="D114" s="6" t="n">
        <f aca="false">'1. Cadastro de Insumos'!F13</f>
        <v>0.03</v>
      </c>
      <c r="E114" s="5" t="n">
        <f aca="false">C114*D114</f>
        <v>3</v>
      </c>
      <c r="F114" s="13"/>
      <c r="G114" s="19" t="s">
        <v>41</v>
      </c>
      <c r="H114" s="3"/>
      <c r="I114" s="23" t="n">
        <f aca="false">SUM(I109:I113)</f>
        <v>59.7135</v>
      </c>
      <c r="J114" s="12"/>
    </row>
    <row r="115" customFormat="false" ht="15" hidden="false" customHeight="false" outlineLevel="0" collapsed="false">
      <c r="A115" s="12"/>
      <c r="B115" s="3"/>
      <c r="C115" s="3"/>
      <c r="D115" s="3"/>
      <c r="E115" s="18" t="n">
        <f aca="false">SUM(E112:E114)</f>
        <v>15</v>
      </c>
      <c r="F115" s="13"/>
      <c r="G115" s="3"/>
      <c r="H115" s="3"/>
      <c r="I115" s="3"/>
      <c r="J115" s="12"/>
    </row>
    <row r="116" customFormat="false" ht="15" hidden="false" customHeight="false" outlineLevel="0" collapsed="false">
      <c r="A116" s="12"/>
      <c r="B116" s="3"/>
      <c r="C116" s="24" t="s">
        <v>62</v>
      </c>
      <c r="D116" s="24"/>
      <c r="E116" s="25" t="n">
        <f aca="false">SUM(E109,E115)</f>
        <v>19.4283333333333</v>
      </c>
      <c r="F116" s="13"/>
      <c r="G116" s="3"/>
      <c r="H116" s="3"/>
      <c r="I116" s="3"/>
      <c r="J116" s="12"/>
    </row>
    <row r="117" customFormat="false" ht="15" hidden="false" customHeight="false" outlineLevel="0" collapsed="false">
      <c r="A117" s="12"/>
      <c r="B117" s="3"/>
      <c r="C117" s="3"/>
      <c r="D117" s="3"/>
      <c r="E117" s="3"/>
      <c r="F117" s="13"/>
      <c r="G117" s="3"/>
      <c r="H117" s="3"/>
      <c r="I117" s="3"/>
      <c r="J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 customFormat="false" ht="15" hidden="false" customHeight="false" outlineLevel="0" collapsed="false">
      <c r="A121" s="12"/>
      <c r="B121" s="0" t="s">
        <v>39</v>
      </c>
      <c r="C121" s="0" t="s">
        <v>68</v>
      </c>
      <c r="F121" s="13"/>
      <c r="G121" s="14" t="s">
        <v>41</v>
      </c>
      <c r="H121" s="14"/>
      <c r="I121" s="14"/>
      <c r="J121" s="12"/>
    </row>
    <row r="122" customFormat="false" ht="15" hidden="false" customHeight="false" outlineLevel="0" collapsed="false">
      <c r="A122" s="12"/>
      <c r="F122" s="13"/>
      <c r="J122" s="12"/>
    </row>
    <row r="123" customFormat="false" ht="15" hidden="false" customHeight="false" outlineLevel="0" collapsed="false">
      <c r="A123" s="12"/>
      <c r="B123" s="2" t="s">
        <v>0</v>
      </c>
      <c r="C123" s="2" t="s">
        <v>42</v>
      </c>
      <c r="D123" s="2" t="s">
        <v>5</v>
      </c>
      <c r="E123" s="2" t="s">
        <v>43</v>
      </c>
      <c r="F123" s="13"/>
      <c r="G123" s="15" t="s">
        <v>44</v>
      </c>
      <c r="H123" s="15" t="s">
        <v>45</v>
      </c>
      <c r="I123" s="15" t="s">
        <v>46</v>
      </c>
      <c r="J123" s="12"/>
    </row>
    <row r="124" customFormat="false" ht="15" hidden="false" customHeight="false" outlineLevel="0" collapsed="false">
      <c r="A124" s="12"/>
      <c r="B124" s="3" t="s">
        <v>47</v>
      </c>
      <c r="C124" s="3" t="n">
        <v>175</v>
      </c>
      <c r="D124" s="6" t="n">
        <f aca="false">'1. Cadastro de Insumos'!F2</f>
        <v>0.0028</v>
      </c>
      <c r="E124" s="5" t="n">
        <f aca="false">C124*D124</f>
        <v>0.49</v>
      </c>
      <c r="F124" s="13"/>
      <c r="G124" s="3" t="s">
        <v>48</v>
      </c>
      <c r="H124" s="3"/>
      <c r="I124" s="16" t="n">
        <f aca="false">SUM(E129:E133)</f>
        <v>16.4283333333333</v>
      </c>
      <c r="J124" s="12"/>
    </row>
    <row r="125" customFormat="false" ht="15" hidden="false" customHeight="false" outlineLevel="0" collapsed="false">
      <c r="A125" s="12"/>
      <c r="B125" s="3" t="s">
        <v>49</v>
      </c>
      <c r="C125" s="3" t="n">
        <v>150</v>
      </c>
      <c r="D125" s="6" t="n">
        <f aca="false">'1. Cadastro de Insumos'!F3</f>
        <v>0.004</v>
      </c>
      <c r="E125" s="5" t="n">
        <f aca="false">C125*D125</f>
        <v>0.6</v>
      </c>
      <c r="F125" s="13"/>
      <c r="G125" s="3" t="s">
        <v>50</v>
      </c>
      <c r="H125" s="17" t="n">
        <v>0.1</v>
      </c>
      <c r="I125" s="16" t="n">
        <f aca="false">I124*H125</f>
        <v>1.64283333333333</v>
      </c>
      <c r="J125" s="12"/>
    </row>
    <row r="126" customFormat="false" ht="15" hidden="false" customHeight="false" outlineLevel="0" collapsed="false">
      <c r="A126" s="12"/>
      <c r="B126" s="3" t="s">
        <v>51</v>
      </c>
      <c r="C126" s="3" t="n">
        <v>3.5</v>
      </c>
      <c r="D126" s="6" t="n">
        <f aca="false">'1. Cadastro de Insumos'!F4</f>
        <v>0.666666666666667</v>
      </c>
      <c r="E126" s="5" t="n">
        <f aca="false">C126*D126</f>
        <v>2.33333333333333</v>
      </c>
      <c r="F126" s="13"/>
      <c r="G126" s="3" t="s">
        <v>52</v>
      </c>
      <c r="H126" s="17" t="n">
        <v>0.2</v>
      </c>
      <c r="I126" s="16" t="n">
        <f aca="false">(I124+I125)*H126</f>
        <v>3.61423333333333</v>
      </c>
      <c r="J126" s="12"/>
    </row>
    <row r="127" customFormat="false" ht="15" hidden="false" customHeight="false" outlineLevel="0" collapsed="false">
      <c r="A127" s="12"/>
      <c r="B127" s="3" t="s">
        <v>53</v>
      </c>
      <c r="C127" s="3" t="n">
        <v>7.5</v>
      </c>
      <c r="D127" s="6" t="n">
        <f aca="false">'1. Cadastro de Insumos'!F5</f>
        <v>0.044</v>
      </c>
      <c r="E127" s="5" t="n">
        <f aca="false">C127*D127</f>
        <v>0.33</v>
      </c>
      <c r="F127" s="13"/>
      <c r="G127" s="3" t="s">
        <v>54</v>
      </c>
      <c r="H127" s="3"/>
      <c r="I127" s="16" t="n">
        <f aca="false">SUM(I124:I126)</f>
        <v>21.6854</v>
      </c>
      <c r="J127" s="12"/>
    </row>
    <row r="128" customFormat="false" ht="15" hidden="false" customHeight="false" outlineLevel="0" collapsed="false">
      <c r="A128" s="12"/>
      <c r="B128" s="3" t="s">
        <v>55</v>
      </c>
      <c r="C128" s="3" t="n">
        <v>15</v>
      </c>
      <c r="D128" s="6" t="n">
        <f aca="false">'1. Cadastro de Insumos'!F6</f>
        <v>0.045</v>
      </c>
      <c r="E128" s="5" t="n">
        <f aca="false">C128*D128</f>
        <v>0.675</v>
      </c>
      <c r="F128" s="13"/>
      <c r="G128" s="3" t="s">
        <v>56</v>
      </c>
      <c r="H128" s="17" t="n">
        <v>1.5</v>
      </c>
      <c r="I128" s="16"/>
      <c r="J128" s="12"/>
    </row>
    <row r="129" customFormat="false" ht="15" hidden="false" customHeight="false" outlineLevel="0" collapsed="false">
      <c r="A129" s="12"/>
      <c r="B129" s="3"/>
      <c r="C129" s="3"/>
      <c r="D129" s="6" t="n">
        <f aca="false">'1. Cadastro de Insumos'!F7</f>
        <v>0</v>
      </c>
      <c r="E129" s="18" t="n">
        <f aca="false">SUM(E124:E128)</f>
        <v>4.42833333333333</v>
      </c>
      <c r="F129" s="13"/>
      <c r="G129" s="19" t="s">
        <v>57</v>
      </c>
      <c r="H129" s="3"/>
      <c r="I129" s="20" t="n">
        <f aca="false">I127*(1+H128)</f>
        <v>54.2135</v>
      </c>
      <c r="J129" s="12"/>
    </row>
    <row r="130" customFormat="false" ht="15" hidden="false" customHeight="false" outlineLevel="0" collapsed="false">
      <c r="A130" s="12"/>
      <c r="B130" s="3"/>
      <c r="C130" s="3"/>
      <c r="D130" s="6"/>
      <c r="E130" s="18"/>
      <c r="F130" s="13"/>
      <c r="G130" s="19"/>
      <c r="H130" s="3"/>
      <c r="I130" s="20"/>
      <c r="J130" s="12"/>
    </row>
    <row r="131" customFormat="false" ht="15" hidden="false" customHeight="false" outlineLevel="0" collapsed="false">
      <c r="A131" s="12"/>
      <c r="B131" s="21" t="s">
        <v>58</v>
      </c>
      <c r="C131" s="21"/>
      <c r="D131" s="21" t="n">
        <f aca="false">'1. Cadastro de Insumos'!F8</f>
        <v>0</v>
      </c>
      <c r="E131" s="21"/>
      <c r="F131" s="13"/>
      <c r="G131" s="3" t="s">
        <v>34</v>
      </c>
      <c r="H131" s="3"/>
      <c r="I131" s="16" t="n">
        <f aca="false">E134</f>
        <v>15</v>
      </c>
      <c r="J131" s="12"/>
    </row>
    <row r="132" customFormat="false" ht="15" hidden="false" customHeight="false" outlineLevel="0" collapsed="false">
      <c r="A132" s="12"/>
      <c r="B132" s="3" t="s">
        <v>59</v>
      </c>
      <c r="C132" s="3" t="n">
        <v>1</v>
      </c>
      <c r="D132" s="6" t="n">
        <f aca="false">'1. Cadastro de Insumos'!E9</f>
        <v>6</v>
      </c>
      <c r="E132" s="5" t="n">
        <f aca="false">C132*D132</f>
        <v>6</v>
      </c>
      <c r="F132" s="13"/>
      <c r="G132" s="3" t="s">
        <v>60</v>
      </c>
      <c r="H132" s="3" t="n">
        <v>1</v>
      </c>
      <c r="I132" s="16" t="n">
        <v>2.5</v>
      </c>
      <c r="J132" s="12"/>
    </row>
    <row r="133" customFormat="false" ht="15" hidden="false" customHeight="false" outlineLevel="0" collapsed="false">
      <c r="A133" s="12"/>
      <c r="B133" s="3" t="s">
        <v>61</v>
      </c>
      <c r="C133" s="3" t="n">
        <v>2</v>
      </c>
      <c r="D133" s="6" t="n">
        <f aca="false">'1. Cadastro de Insumos'!E10</f>
        <v>3</v>
      </c>
      <c r="E133" s="5" t="n">
        <f aca="false">C133*D133</f>
        <v>6</v>
      </c>
      <c r="F133" s="13"/>
      <c r="G133" s="3"/>
      <c r="H133" s="3"/>
      <c r="I133" s="16"/>
      <c r="J133" s="12"/>
    </row>
    <row r="134" customFormat="false" ht="15" hidden="false" customHeight="false" outlineLevel="0" collapsed="false">
      <c r="A134" s="12"/>
      <c r="B134" s="3" t="s">
        <v>34</v>
      </c>
      <c r="C134" s="3" t="n">
        <v>1</v>
      </c>
      <c r="D134" s="6" t="n">
        <f aca="false">'1. Cadastro de Insumos'!E15</f>
        <v>15</v>
      </c>
      <c r="E134" s="5" t="n">
        <f aca="false">C134*D134</f>
        <v>15</v>
      </c>
      <c r="F134" s="13"/>
      <c r="G134" s="19" t="s">
        <v>41</v>
      </c>
      <c r="H134" s="3"/>
      <c r="I134" s="23" t="n">
        <f aca="false">SUM(I129:I133)</f>
        <v>71.7135</v>
      </c>
      <c r="J134" s="12"/>
    </row>
    <row r="135" customFormat="false" ht="15" hidden="false" customHeight="false" outlineLevel="0" collapsed="false">
      <c r="A135" s="12"/>
      <c r="B135" s="3"/>
      <c r="C135" s="3"/>
      <c r="D135" s="3"/>
      <c r="E135" s="18" t="n">
        <f aca="false">SUM(E132:E134)</f>
        <v>27</v>
      </c>
      <c r="F135" s="13"/>
      <c r="G135" s="3"/>
      <c r="H135" s="3"/>
      <c r="I135" s="3"/>
      <c r="J135" s="12"/>
    </row>
    <row r="136" customFormat="false" ht="15" hidden="false" customHeight="false" outlineLevel="0" collapsed="false">
      <c r="A136" s="12"/>
      <c r="B136" s="3"/>
      <c r="C136" s="24" t="s">
        <v>62</v>
      </c>
      <c r="D136" s="24"/>
      <c r="E136" s="25" t="n">
        <f aca="false">SUM(E129,E135)</f>
        <v>31.4283333333333</v>
      </c>
      <c r="F136" s="13"/>
      <c r="G136" s="3"/>
      <c r="H136" s="3"/>
      <c r="I136" s="3"/>
      <c r="J136" s="12"/>
    </row>
    <row r="137" customFormat="false" ht="15" hidden="false" customHeight="false" outlineLevel="0" collapsed="false">
      <c r="A137" s="12"/>
      <c r="B137" s="3"/>
      <c r="C137" s="3"/>
      <c r="D137" s="3"/>
      <c r="E137" s="3"/>
      <c r="F137" s="13"/>
      <c r="G137" s="3"/>
      <c r="H137" s="3"/>
      <c r="I137" s="3"/>
      <c r="J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</sheetData>
  <mergeCells count="21">
    <mergeCell ref="G2:I2"/>
    <mergeCell ref="B11:E11"/>
    <mergeCell ref="C16:D16"/>
    <mergeCell ref="G21:I21"/>
    <mergeCell ref="B31:E31"/>
    <mergeCell ref="C36:D36"/>
    <mergeCell ref="G41:I41"/>
    <mergeCell ref="B51:E51"/>
    <mergeCell ref="C56:D56"/>
    <mergeCell ref="G61:I61"/>
    <mergeCell ref="B71:E71"/>
    <mergeCell ref="C76:D76"/>
    <mergeCell ref="G81:I81"/>
    <mergeCell ref="B91:E91"/>
    <mergeCell ref="C96:D96"/>
    <mergeCell ref="G101:I101"/>
    <mergeCell ref="B111:E111"/>
    <mergeCell ref="C116:D116"/>
    <mergeCell ref="G121:I121"/>
    <mergeCell ref="B131:E131"/>
    <mergeCell ref="C136:D1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LibreOffice/25.8.2.1$Windows_X86_64 LibreOffice_project/345526217a4027cb1b9ab39bd7153c8c141a1d64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2026-05-12T22:02:39Z</dcterms:created>
  <dc:creator>openpyxl</dc:creator>
  <dc:description/>
  <dc:language>pt-BR</dc:language>
  <cp:lastModifiedBy/>
  <dcterms:modified xsi:type="dcterms:W3CDTF">2026-05-12T21:42:36Z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